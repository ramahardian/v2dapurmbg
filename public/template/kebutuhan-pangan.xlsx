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<sst xmlns="http://schemas.openxmlformats.org/spreadsheetml/2006/main" count="11" uniqueCount="11">
  <si>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Perhitungan Kebutuhan Pangan Pangan Bumil Busui</t>
  </si>
  <si>
    <t>MENU</t>
  </si>
  <si>
    <t>Bahan Pangan</t>
  </si>
  <si>
    <t>Berat Bersih (gram)</t>
  </si>
  <si>
    <t>Persen BDD</t>
  </si>
  <si>
    <t>Berat Kotor (gram)</t>
  </si>
  <si>
    <t>Jumlah Bumil Busui</t>
  </si>
  <si>
    <t>Kebutuhan Bahan Pangan (kg)</t>
  </si>
  <si>
    <t>MENU 1</t>
  </si>
  <si>
    <t>Senin, 27 Juli 2026</t>
  </si>
  <si>
    <t>Beras 2 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</si>
</sst>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/>
    <font>
      <sz val="12.0"/>
      <color theme="1"/>
      <name val="Arial"/>
    </font>
    <font>
      <sz val="12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6C6AC"/>
        <bgColor rgb="FFF6C6AC"/>
      </patternFill>
    </fill>
    <fill>
      <patternFill patternType="solid">
        <fgColor rgb="FFF7C7AC"/>
        <bgColor rgb="FFF7C7A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1" fillId="3" fontId="3" numFmtId="0" xfId="0" applyAlignment="1" applyBorder="1" applyFill="1" applyFont="1">
      <alignment vertical="bottom"/>
    </xf>
    <xf borderId="1" fillId="3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1" fillId="3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5" numFmtId="9" xfId="0" applyAlignment="1" applyBorder="1" applyFont="1" applyNumberFormat="1">
      <alignment horizontal="center" shrinkToFit="0" vertical="bottom" wrapText="1"/>
    </xf>
    <xf borderId="1" fillId="0" fontId="5" numFmtId="1" xfId="0" applyAlignment="1" applyBorder="1" applyFont="1" applyNumberFormat="1">
      <alignment horizontal="center" shrinkToFit="0" vertical="top" wrapText="1"/>
    </xf>
    <xf borderId="1" fillId="0" fontId="5" numFmtId="0" xfId="0" applyAlignment="1" applyBorder="1" applyFont="1">
      <alignment horizontal="center" vertical="bottom"/>
    </xf>
    <xf borderId="1" fillId="0" fontId="5" numFmtId="2" xfId="0" applyAlignment="1" applyBorder="1" applyFont="1" applyNumberFormat="1">
      <alignment horizontal="center" shrinkToFit="0" vertical="top" wrapText="1"/>
    </xf>
    <xf borderId="1" fillId="4" fontId="5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1"/>
    </xf>
    <xf borderId="1" fillId="4" fontId="6" numFmtId="0" xfId="0" applyAlignment="1" applyBorder="1" applyFont="1">
      <alignment horizontal="center" vertical="bottom"/>
    </xf>
    <xf borderId="7" fillId="0" fontId="4" numFmtId="0" xfId="0" applyBorder="1" applyFont="1"/>
    <xf borderId="1" fillId="4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9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top"/>
    </xf>
    <xf borderId="1" fillId="0" fontId="1" numFmtId="2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</row>
    <row r="2">
      <c r="A2" s="1"/>
      <c r="B2" s="1"/>
      <c r="C2" s="1"/>
      <c r="D2" s="1"/>
      <c r="E2" s="1"/>
      <c r="F2" s="1"/>
      <c r="G2" s="1"/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>
      <c r="A4" s="5" t="s">
        <v>8</v>
      </c>
      <c r="B4" s="6" t="s">
        <v>9</v>
      </c>
      <c r="C4" s="7"/>
      <c r="D4" s="7"/>
      <c r="E4" s="7"/>
      <c r="F4" s="7"/>
      <c r="G4" s="8"/>
    </row>
    <row r="5">
      <c r="A5" s="9"/>
      <c r="B5" s="10" t="s">
        <v>10</v>
      </c>
      <c r="C5" s="11" t="str">
        <f>VLOOKUP(B5, Sheet9!$A$1:$D$132, 2, FALSE)</f>
        <v>#REF!</v>
      </c>
      <c r="D5" s="12" t="str">
        <f>VLOOKUP(B5,Sheet9!A3:D138,3,FALSE)</f>
        <v>#REF!</v>
      </c>
      <c r="E5" s="13" t="str">
        <f>C5/D5</f>
        <v>#REF!</v>
      </c>
      <c r="F5" s="14">
        <v>153.0</v>
      </c>
      <c r="G5" s="15" t="str">
        <f>E5*F5/1000</f>
        <v>#REF!</v>
      </c>
    </row>
    <row r="6">
      <c r="A6" s="9"/>
      <c r="B6" s="16"/>
      <c r="C6" s="17"/>
      <c r="D6" s="12"/>
      <c r="E6" s="13"/>
      <c r="F6" s="14"/>
      <c r="G6" s="15"/>
    </row>
    <row r="7">
      <c r="A7" s="9"/>
      <c r="B7" s="16"/>
      <c r="C7" s="17"/>
      <c r="D7" s="12"/>
      <c r="E7" s="13"/>
      <c r="F7" s="14"/>
      <c r="G7" s="15"/>
    </row>
    <row r="8">
      <c r="A8" s="9"/>
      <c r="B8" s="16"/>
      <c r="C8" s="17"/>
      <c r="D8" s="12"/>
      <c r="E8" s="13"/>
      <c r="F8" s="14"/>
      <c r="G8" s="15"/>
    </row>
    <row r="9">
      <c r="A9" s="9"/>
      <c r="B9" s="16"/>
      <c r="C9" s="17"/>
      <c r="D9" s="12"/>
      <c r="E9" s="13"/>
      <c r="F9" s="14"/>
      <c r="G9" s="15"/>
    </row>
    <row r="10">
      <c r="A10" s="9"/>
      <c r="B10" s="16"/>
      <c r="C10" s="17"/>
      <c r="D10" s="12"/>
      <c r="E10" s="13"/>
      <c r="F10" s="14"/>
      <c r="G10" s="15"/>
    </row>
    <row r="11">
      <c r="A11" s="9"/>
      <c r="B11" s="18"/>
      <c r="C11" s="17"/>
      <c r="D11" s="12"/>
      <c r="E11" s="13"/>
      <c r="F11" s="14"/>
      <c r="G11" s="15"/>
    </row>
    <row r="12">
      <c r="A12" s="19"/>
      <c r="B12" s="20"/>
      <c r="C12" s="21"/>
      <c r="D12" s="22"/>
      <c r="E12" s="23"/>
      <c r="F12" s="21"/>
      <c r="G12" s="24"/>
    </row>
  </sheetData>
  <mergeCells count="3">
    <mergeCell ref="B1:G1"/>
    <mergeCell ref="A4:A12"/>
    <mergeCell ref="B4:G4"/>
  </mergeCells>
  <drawing r:id="rId1"/>
</worksheet>
</file>