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al 1" sheetId="1" state="visible" r:id="rId3"/>
    <sheet name="tot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<sst xmlns="http://schemas.openxmlformats.org/spreadsheetml/2006/main" count="37" uniqueCount="34">
  <si>
    <t xml:space="preserve">RENCANA ANGGARAN BELANJA (RAB) BAHAN BAKU HARIAN</t>
  </si>
  <si>
    <t xml:space="preserve">SPPG BOGOR TAMANSARI SUKALUYU</t>
  </si>
  <si>
    <t xml:space="preserve">YAYASAN  SHAIMA ANAK SHOLEHA</t>
  </si>
  <si>
    <t xml:space="preserve">MENU:BURGER BUN+CARAMELIZED ONION EGG+TUMIS PAKCOY+KEJU SLICE+BUAH PISANG AMBON</t>
  </si>
  <si>
    <t xml:space="preserve">Hari:Jumat 24 juli 2026</t>
  </si>
  <si>
    <t xml:space="preserve">NO</t>
  </si>
  <si>
    <t xml:space="preserve">URAIAN</t>
  </si>
  <si>
    <t xml:space="preserve">QTY</t>
  </si>
  <si>
    <t xml:space="preserve">SATUAN</t>
  </si>
  <si>
    <t xml:space="preserve">HARGA</t>
  </si>
  <si>
    <t xml:space="preserve">JUMLAH</t>
  </si>
  <si>
    <t xml:space="preserve">KETERANGAN</t>
  </si>
  <si>
    <t xml:space="preserve">BURGER BUN</t>
  </si>
  <si>
    <t xml:space="preserve">PCS</t>
  </si>
  <si>
    <t xml:space="preserve">TOTAL</t>
  </si>
  <si>
    <t xml:space="preserve">ANGGARAN BELANJA BELANJA HARIAN</t>
  </si>
  <si>
    <t xml:space="preserve">SISA</t>
  </si>
  <si>
    <t xml:space="preserve">TANGGAL / SEKOLAH</t>
  </si>
  <si>
    <t xml:space="preserve">KLASIFIKASI</t>
  </si>
  <si>
    <t xml:space="preserve">JUMLAH SISWA &amp; GURU</t>
  </si>
  <si>
    <t xml:space="preserve">PAGU HARGA</t>
  </si>
  <si>
    <t xml:space="preserve">MISBAHUL ISLAM</t>
  </si>
  <si>
    <t xml:space="preserve">Paud &amp; kelas 1-3</t>
  </si>
  <si>
    <t xml:space="preserve">Kelas 4-12 + Guru</t>
  </si>
  <si>
    <t xml:space="preserve">POSYANDU MELATI 1</t>
  </si>
  <si>
    <t xml:space="preserve">porsi Kecil</t>
  </si>
  <si>
    <t xml:space="preserve">B3</t>
  </si>
  <si>
    <t xml:space="preserve">Porsi Besar</t>
  </si>
  <si>
    <t xml:space="preserve">TOTAL RAB BAHAN BAKU 13-17 Juli 2026</t>
  </si>
  <si>
    <t xml:space="preserve">TANGGAL</t>
  </si>
  <si>
    <t xml:space="preserve">ANGGARAN</t>
  </si>
  <si>
    <t xml:space="preserve">REALISASI</t>
  </si>
  <si>
    <t xml:space="preserve">SELISIH</t>
  </si>
  <si>
    <t xml:space="preserve">24 JULI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</si>
</sst>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p&quot;* #,###"/>
    <numFmt numFmtId="166" formatCode="dd\-mmm"/>
    <numFmt numFmtId="167" formatCode="&quot;Rp&quot;#,##0.00"/>
  </numFmts>
  <fonts count="1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Times New Roman"/>
      <family val="0"/>
      <charset val="134"/>
    </font>
    <font>
      <b val="true"/>
      <sz val="12"/>
      <color theme="1"/>
      <name val="Times New Roman"/>
      <family val="0"/>
      <charset val="134"/>
    </font>
    <font>
      <sz val="11"/>
      <name val="Times New Roman"/>
      <family val="0"/>
      <charset val="134"/>
    </font>
    <font>
      <b val="true"/>
      <sz val="11"/>
      <color theme="1"/>
      <name val="Times New Roman"/>
      <family val="0"/>
      <charset val="134"/>
    </font>
    <font>
      <sz val="11"/>
      <color theme="1"/>
      <name val="Times New Roman"/>
      <family val="0"/>
      <charset val="134"/>
    </font>
    <font>
      <b val="true"/>
      <sz val="24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</fonts>
  <fills count="9">
    <fill>
      <patternFill patternType="none"/>
    </fill>
    <fill>
      <patternFill patternType="gray125"/>
    </fill>
    <fill>
      <patternFill patternType="solid">
        <fgColor rgb="FF76E3FF"/>
        <bgColor rgb="FFA3DBFF"/>
      </patternFill>
    </fill>
    <fill>
      <patternFill patternType="solid">
        <fgColor rgb="FFFFFF00"/>
        <bgColor rgb="FFFFFF00"/>
      </patternFill>
    </fill>
    <fill>
      <patternFill patternType="solid">
        <fgColor rgb="FFA3DBFF"/>
        <bgColor rgb="FFB4C7E7"/>
      </patternFill>
    </fill>
    <fill>
      <patternFill patternType="solid">
        <fgColor theme="4" tint="0.5999"/>
        <bgColor rgb="FFCCCCFF"/>
      </patternFill>
    </fill>
    <fill>
      <patternFill patternType="solid">
        <fgColor rgb="FFFFC000"/>
        <bgColor rgb="FFFF9900"/>
      </patternFill>
    </fill>
    <fill>
      <patternFill patternType="solid">
        <fgColor theme="2" tint="-0.05"/>
        <bgColor rgb="FFFFFFFF"/>
      </patternFill>
    </fill>
    <fill>
      <patternFill patternType="solid">
        <fgColor theme="0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3DBFF"/>
      <rgbColor rgb="FFFF99CC"/>
      <rgbColor rgb="FFCC99FF"/>
      <rgbColor rgb="FFFFCC99"/>
      <rgbColor rgb="FF3366FF"/>
      <rgbColor rgb="FF76E3FF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048576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G12" activeCellId="0" sqref="G12"/>
    </sheetView>
  </sheetViews>
  <sheetFormatPr defaultColWidth="8.83984375" defaultRowHeight="16.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.5"/>
    <col collapsed="false" customWidth="true" hidden="false" outlineLevel="0" max="3" min="3" style="1" width="15.16"/>
    <col collapsed="false" customWidth="true" hidden="false" outlineLevel="0" max="4" min="4" style="1" width="21"/>
    <col collapsed="false" customWidth="true" hidden="false" outlineLevel="0" max="5" min="5" style="1" width="15.16"/>
    <col collapsed="false" customWidth="true" hidden="false" outlineLevel="0" max="6" min="6" style="1" width="17"/>
    <col collapsed="false" customWidth="true" hidden="false" outlineLevel="0" max="7" min="7" style="1" width="19.52"/>
  </cols>
  <sheetData>
    <row r="2" customFormat="false" ht="17.35" hidden="false" customHeight="false" outlineLevel="0" collapsed="false">
      <c r="A2" s="2" t="s">
        <v>0</v>
      </c>
      <c r="B2" s="2"/>
      <c r="C2" s="2"/>
      <c r="D2" s="2"/>
      <c r="E2" s="2"/>
      <c r="F2" s="2"/>
      <c r="G2" s="2"/>
    </row>
    <row r="3" customFormat="false" ht="16.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16.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6.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16.5" hidden="false" customHeight="false" outlineLevel="0" collapsed="false">
      <c r="A6" s="5" t="s">
        <v>4</v>
      </c>
      <c r="B6" s="5"/>
      <c r="C6" s="5"/>
      <c r="D6" s="5"/>
      <c r="E6" s="5"/>
      <c r="F6" s="5"/>
      <c r="G6" s="5"/>
    </row>
    <row r="7" customFormat="false" ht="16.5" hidden="false" customHeight="fals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customFormat="false" ht="16.5" hidden="false" customHeight="false" outlineLevel="0" collapsed="false">
      <c r="A8" s="7" t="n">
        <v>1</v>
      </c>
      <c r="B8" s="8" t="s">
        <v>12</v>
      </c>
      <c r="C8" s="9" t="n">
        <v>2839</v>
      </c>
      <c r="D8" s="8" t="s">
        <v>13</v>
      </c>
      <c r="E8" s="10" t="n">
        <v>1700</v>
      </c>
      <c r="F8" s="11" t="n">
        <f aca="false">SUM(C8*E8)</f>
        <v>4826300</v>
      </c>
      <c r="G8" s="8"/>
    </row>
    <row r="9" customFormat="false" ht="16.5" hidden="false" customHeight="false" outlineLevel="0" collapsed="false">
      <c r="A9" s="12" t="s">
        <v>14</v>
      </c>
      <c r="B9" s="12"/>
      <c r="C9" s="12"/>
      <c r="D9" s="12"/>
      <c r="E9" s="12"/>
      <c r="F9" s="13" t="n">
        <f aca="false">SUM(F8)</f>
        <v>4826300</v>
      </c>
      <c r="G9" s="14"/>
    </row>
    <row r="10" customFormat="false" ht="16.5" hidden="false" customHeight="false" outlineLevel="0" collapsed="false">
      <c r="A10" s="15" t="s">
        <v>15</v>
      </c>
      <c r="B10" s="15"/>
      <c r="C10" s="15"/>
      <c r="D10" s="15"/>
      <c r="E10" s="15"/>
      <c r="F10" s="16" t="n">
        <f aca="false">SUM(F15:F19)</f>
        <v>3274000</v>
      </c>
      <c r="G10" s="14"/>
    </row>
    <row r="11" customFormat="false" ht="16.5" hidden="false" customHeight="false" outlineLevel="0" collapsed="false">
      <c r="A11" s="17" t="s">
        <v>16</v>
      </c>
      <c r="B11" s="17"/>
      <c r="C11" s="17"/>
      <c r="D11" s="17"/>
      <c r="E11" s="17"/>
      <c r="F11" s="18" t="n">
        <f aca="false">SUM(F10-F9)</f>
        <v>-1552300</v>
      </c>
      <c r="G11" s="14"/>
    </row>
    <row r="14" customFormat="false" ht="16.5" hidden="false" customHeight="false" outlineLevel="0" collapsed="false">
      <c r="A14" s="19" t="s">
        <v>5</v>
      </c>
      <c r="B14" s="20" t="s">
        <v>17</v>
      </c>
      <c r="C14" s="19" t="s">
        <v>18</v>
      </c>
      <c r="D14" s="21" t="s">
        <v>19</v>
      </c>
      <c r="E14" s="19" t="s">
        <v>20</v>
      </c>
      <c r="F14" s="19" t="s">
        <v>10</v>
      </c>
    </row>
    <row r="15" customFormat="false" ht="16.5" hidden="false" customHeight="false" outlineLevel="0" collapsed="false">
      <c r="A15" s="22" t="n">
        <v>1</v>
      </c>
      <c r="B15" s="23" t="s">
        <v>21</v>
      </c>
      <c r="C15" s="22" t="s">
        <v>22</v>
      </c>
      <c r="D15" s="24" t="n">
        <v>123</v>
      </c>
      <c r="E15" s="25" t="n">
        <v>8000</v>
      </c>
      <c r="F15" s="25" t="n">
        <f aca="false">E15*D15</f>
        <v>984000</v>
      </c>
    </row>
    <row r="16" customFormat="false" ht="16.5" hidden="false" customHeight="false" outlineLevel="0" collapsed="false">
      <c r="A16" s="22"/>
      <c r="B16" s="23"/>
      <c r="C16" s="26" t="s">
        <v>23</v>
      </c>
      <c r="D16" s="24" t="n">
        <v>119</v>
      </c>
      <c r="E16" s="25" t="n">
        <v>10000</v>
      </c>
      <c r="F16" s="25" t="n">
        <f aca="false">E16*D16</f>
        <v>1190000</v>
      </c>
      <c r="G16" s="27"/>
    </row>
    <row r="17" customFormat="false" ht="14.25" hidden="false" customHeight="true" outlineLevel="0" collapsed="false">
      <c r="A17" s="28"/>
      <c r="B17" s="28" t="s">
        <v>24</v>
      </c>
      <c r="C17" s="29" t="s">
        <v>25</v>
      </c>
      <c r="D17" s="28" t="n">
        <v>70</v>
      </c>
      <c r="E17" s="30" t="n">
        <v>8000</v>
      </c>
      <c r="F17" s="30" t="n">
        <f aca="false">SUM(D17*E17)</f>
        <v>560000</v>
      </c>
      <c r="G17" s="31" t="s">
        <v>26</v>
      </c>
    </row>
    <row r="18" customFormat="false" ht="14.25" hidden="false" customHeight="true" outlineLevel="0" collapsed="false">
      <c r="A18" s="28"/>
      <c r="B18" s="28"/>
      <c r="C18" s="29" t="s">
        <v>27</v>
      </c>
      <c r="D18" s="28" t="n">
        <v>54</v>
      </c>
      <c r="E18" s="30" t="n">
        <v>10000</v>
      </c>
      <c r="F18" s="30" t="n">
        <f aca="false">SUM(D18*E18)</f>
        <v>540000</v>
      </c>
      <c r="G18" s="31"/>
    </row>
    <row r="19" customFormat="false" ht="16.5" hidden="false" customHeight="false" outlineLevel="0" collapsed="false">
      <c r="A19" s="32"/>
      <c r="B19" s="32"/>
      <c r="C19" s="33"/>
      <c r="D19" s="32"/>
      <c r="E19" s="34"/>
      <c r="F19" s="34"/>
    </row>
    <row r="20" customFormat="false" ht="16.5" hidden="false" customHeight="false" outlineLevel="0" collapsed="false">
      <c r="A20" s="32"/>
      <c r="B20" s="32"/>
      <c r="C20" s="33"/>
      <c r="D20" s="32"/>
      <c r="E20" s="34"/>
      <c r="F20" s="34"/>
    </row>
    <row r="21" customFormat="false" ht="16.5" hidden="false" customHeight="false" outlineLevel="0" collapsed="false">
      <c r="A21" s="32"/>
      <c r="B21" s="32"/>
      <c r="C21" s="33"/>
      <c r="D21" s="32" t="n">
        <f aca="false">SUM(D15:D18)</f>
        <v>366</v>
      </c>
      <c r="E21" s="34"/>
      <c r="F21" s="35" t="n">
        <f aca="false">SUM(F15:F18)</f>
        <v>3274000</v>
      </c>
    </row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2:G2"/>
    <mergeCell ref="A3:G3"/>
    <mergeCell ref="A4:G4"/>
    <mergeCell ref="A5:G5"/>
    <mergeCell ref="A6:G6"/>
    <mergeCell ref="A9:E9"/>
    <mergeCell ref="A10:E10"/>
    <mergeCell ref="A11:E11"/>
    <mergeCell ref="G17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83984375" defaultRowHeight="16.5" customHeight="false" zeroHeight="false" outlineLevelRow="0" outlineLevelCol="0"/>
  <cols>
    <col collapsed="false" customWidth="true" hidden="false" outlineLevel="0" max="3" min="2" style="1" width="15.84"/>
    <col collapsed="false" customWidth="true" hidden="false" outlineLevel="0" max="4" min="4" style="1" width="16"/>
  </cols>
  <sheetData>
    <row r="1" customFormat="false" ht="16.5" hidden="false" customHeight="false" outlineLevel="0" collapsed="false">
      <c r="A1" s="36" t="s">
        <v>28</v>
      </c>
      <c r="B1" s="36"/>
      <c r="C1" s="36"/>
      <c r="D1" s="36"/>
    </row>
    <row r="3" customFormat="false" ht="16.5" hidden="false" customHeight="false" outlineLevel="0" collapsed="false">
      <c r="A3" s="37" t="s">
        <v>29</v>
      </c>
      <c r="B3" s="37" t="s">
        <v>30</v>
      </c>
      <c r="C3" s="37" t="s">
        <v>31</v>
      </c>
      <c r="D3" s="37" t="s">
        <v>32</v>
      </c>
    </row>
    <row r="4" customFormat="false" ht="16.5" hidden="false" customHeight="false" outlineLevel="0" collapsed="false">
      <c r="A4" s="38" t="s">
        <v>33</v>
      </c>
      <c r="B4" s="39" t="n">
        <f aca="false">'hal 1'!F10</f>
        <v>3274000</v>
      </c>
      <c r="C4" s="39" t="n">
        <f aca="false">'hal 1'!F9</f>
        <v>4826300</v>
      </c>
      <c r="D4" s="39" t="n">
        <f aca="false">SUM(B4-C4)</f>
        <v>-1552300</v>
      </c>
    </row>
    <row r="5" customFormat="false" ht="16.5" hidden="false" customHeight="false" outlineLevel="0" collapsed="false">
      <c r="A5" s="29" t="s">
        <v>14</v>
      </c>
      <c r="B5" s="40" t="n">
        <f aca="false">SUM(B4)</f>
        <v>3274000</v>
      </c>
      <c r="C5" s="40" t="n">
        <f aca="false">SUM(C4)</f>
        <v>4826300</v>
      </c>
      <c r="D5" s="41" t="n">
        <f aca="false">SUM(D4)</f>
        <v>-1552300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2025-07-24T15:34:00Z</dcterms:created>
  <dc:creator>LENOVO</dc:creator>
  <dc:description/>
  <dc:language>id-ID</dc:language>
  <cp:lastModifiedBy/>
  <cp:lastPrinted>2026-02-09T02:48:00Z</cp:lastPrinted>
  <dcterms:modified xsi:type="dcterms:W3CDTF">2026-08-04T11:31:49Z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004796770C5AA696B02A5F6A82017502_43</vt:lpwstr>
  </property>
  <property fmtid="{D5CDD505-2E9C-101B-9397-08002B2CF9AE}" pid="4" name="KSOProductBuildVer">
    <vt:lpwstr>1033-12.1.25880.25880</vt:lpwstr>
  </property>
</Properties>
</file>