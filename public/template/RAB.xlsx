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600" windowHeight="9520" firstSheet="2" activeTab="5"/>
  </bookViews>
  <sheets>
    <sheet name="20 JULI 2026" sheetId="1" r:id="rId1"/>
    <sheet name="21 JULI 2026" sheetId="5" r:id="rId2"/>
    <sheet name="22 JULI 2026" sheetId="2" r:id="rId3"/>
    <sheet name="23 JULI 2026" sheetId="3" r:id="rId4"/>
    <sheet name="24 JULI 2026" sheetId="8" r:id="rId5"/>
    <sheet name="TOTAL RAB 20-24 JULI 2026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<sst xmlns="http://schemas.openxmlformats.org/spreadsheetml/2006/main" count="686" uniqueCount="133">
  <si>
    <t>RENCANA ANGGARAN BELANJA (RAB) BAHAN BAKU HARIAN</t>
  </si>
  <si>
    <t>SPPG BOGOR TAMANSARI SUKALUYU</t>
  </si>
  <si>
    <t>YAYASAN  SHAIMA ANAK SHOLEHA</t>
  </si>
  <si>
    <t>MENU:NASI NORI+BUFFALO CHICKEN WINGS+TEMPE GORENG KREMES+OSENG PAKCOY JAGUNG+BUAH KELENGKENG</t>
  </si>
  <si>
    <t>Hari : SENIN 20 JULI 2026</t>
  </si>
  <si>
    <t>NO</t>
  </si>
  <si>
    <t>URAIAN</t>
  </si>
  <si>
    <t>QTY</t>
  </si>
  <si>
    <t>SATUAN</t>
  </si>
  <si>
    <t>HARGA</t>
  </si>
  <si>
    <t>JUMLAH</t>
  </si>
  <si>
    <t>KETERANGAN</t>
  </si>
  <si>
    <t>BERAS PREMIUM</t>
  </si>
  <si>
    <t>KG</t>
  </si>
  <si>
    <t>SAYAP AYAM</t>
  </si>
  <si>
    <t>TEMPE</t>
  </si>
  <si>
    <t>POKCOY</t>
  </si>
  <si>
    <t>JAGUNG</t>
  </si>
  <si>
    <t>KELENGKENG</t>
  </si>
  <si>
    <t>MINYAK GORENG</t>
  </si>
  <si>
    <t>CARTON</t>
  </si>
  <si>
    <t>BAWANG PUTIH</t>
  </si>
  <si>
    <t>BAWANG MERAH</t>
  </si>
  <si>
    <t>SAUS TOMAT</t>
  </si>
  <si>
    <t>CHILI SAOS</t>
  </si>
  <si>
    <t>BUTTER</t>
  </si>
  <si>
    <t>BIJI WIJEN</t>
  </si>
  <si>
    <t>BUNGKUS</t>
  </si>
  <si>
    <t>500GRAM</t>
  </si>
  <si>
    <t>TEPUNG TAPIOKA</t>
  </si>
  <si>
    <t>TEPUNG BERAS</t>
  </si>
  <si>
    <t>GARAM</t>
  </si>
  <si>
    <t>PCS</t>
  </si>
  <si>
    <t>\</t>
  </si>
  <si>
    <t>KALDU JAMUR</t>
  </si>
  <si>
    <t>GULA PASIR</t>
  </si>
  <si>
    <t>SAOS TIRAM</t>
  </si>
  <si>
    <t>BTL</t>
  </si>
  <si>
    <t>MINYAK WIJEN</t>
  </si>
  <si>
    <t>NORI</t>
  </si>
  <si>
    <t>TOTAL</t>
  </si>
  <si>
    <t>ANGGARAN BELANJA BELANJA HARIAN</t>
  </si>
  <si>
    <t>SISA</t>
  </si>
  <si>
    <t>TANGGAL / SEKOLAH</t>
  </si>
  <si>
    <t>KLASIFIKASI</t>
  </si>
  <si>
    <t>JUMLAH SISWA &amp; GURU</t>
  </si>
  <si>
    <t>PAGU HARGA</t>
  </si>
  <si>
    <t>MISBAHUL ISLAM</t>
  </si>
  <si>
    <t>Paud &amp; kelas 1-3</t>
  </si>
  <si>
    <t>Kelas 4-12 + Guru</t>
  </si>
  <si>
    <t>ASSALAM</t>
  </si>
  <si>
    <t>MATHLA'UL ANWAR</t>
  </si>
  <si>
    <t>TARBIATUL ATHAFAL</t>
  </si>
  <si>
    <t>NURUL IMAN</t>
  </si>
  <si>
    <t>PAUDQU ANNAJAH</t>
  </si>
  <si>
    <t>NURFAJAR</t>
  </si>
  <si>
    <t>MELATI</t>
  </si>
  <si>
    <t>TUNAS HARAPAN</t>
  </si>
  <si>
    <t>AL HIDAYAH</t>
  </si>
  <si>
    <t>AL JAUZIYYAH</t>
  </si>
  <si>
    <t>ARRAHMAN</t>
  </si>
  <si>
    <t>ANNISA</t>
  </si>
  <si>
    <t>DARULAMMAM</t>
  </si>
  <si>
    <t>SDN GADOG 01</t>
  </si>
  <si>
    <t>SDN SUKALUYU 01</t>
  </si>
  <si>
    <t>SPS JASMINE</t>
  </si>
  <si>
    <t>PAUD AL FATH</t>
  </si>
  <si>
    <t>PAUD TERATAI</t>
  </si>
  <si>
    <t>MI AL-HASANAH</t>
  </si>
  <si>
    <t>POSYANDU MELATI 1</t>
  </si>
  <si>
    <t>porsi Kecil</t>
  </si>
  <si>
    <t>B3</t>
  </si>
  <si>
    <t>Porsi Besar</t>
  </si>
  <si>
    <t>POSYANDU MELATI 2</t>
  </si>
  <si>
    <t>Porsi Kecil</t>
  </si>
  <si>
    <t>POSYANDU DAHLIA 1</t>
  </si>
  <si>
    <t>POSYANDU DAHLIA 2</t>
  </si>
  <si>
    <t>MENU:NASI PUTIH+TELUR FUYUNGHAI+TAHU KECAP+TUMIS BUNCIS PUTREN+BUAH NAGA</t>
  </si>
  <si>
    <t>Hari : SELASA 21 JULI 2026</t>
  </si>
  <si>
    <t>TELUR AYAM</t>
  </si>
  <si>
    <t>TAHU</t>
  </si>
  <si>
    <t>BUNCIS</t>
  </si>
  <si>
    <t>PUTREN</t>
  </si>
  <si>
    <t>BUAH NAGA</t>
  </si>
  <si>
    <t>WORTEL</t>
  </si>
  <si>
    <t>DAUN BAWANG</t>
  </si>
  <si>
    <t>TEPUNG TERIGU</t>
  </si>
  <si>
    <t>KEMIRI</t>
  </si>
  <si>
    <t>KETUMBAR BUBUK</t>
  </si>
  <si>
    <t>RENCENG</t>
  </si>
  <si>
    <t>KECAP MANIS</t>
  </si>
  <si>
    <t>700ML</t>
  </si>
  <si>
    <t>LADAKU</t>
  </si>
  <si>
    <t>BOTOL</t>
  </si>
  <si>
    <t>MENU:NASI PUTIH+AYAM KUNGPAU+STIK TEMPE+MIX VEGETABLE+BUAH PISANG AMBON</t>
  </si>
  <si>
    <t>Hari : RABU 22 JULI 2026</t>
  </si>
  <si>
    <t>AYAM POTONG</t>
  </si>
  <si>
    <t>BUAH PISANG canvandis</t>
  </si>
  <si>
    <t>CABE KERING</t>
  </si>
  <si>
    <t>KECAP ASIN</t>
  </si>
  <si>
    <t>500ml</t>
  </si>
  <si>
    <t>CUKA</t>
  </si>
  <si>
    <t>650ml</t>
  </si>
  <si>
    <t>JAHE</t>
  </si>
  <si>
    <t>KACANG TANAH KUPAS</t>
  </si>
  <si>
    <t>TEPUNG ROTI</t>
  </si>
  <si>
    <t>MENU:NASI DAUN JERUK+DORI POPCORN+TAHU ASAM MANIS+OSENG SAWI PUTIH JAGUNG+BUAH SEMANGKA</t>
  </si>
  <si>
    <t>Hari : KAMIS 23 JULI 2026</t>
  </si>
  <si>
    <t>IKAN DORI</t>
  </si>
  <si>
    <t>SAWI PUTIH</t>
  </si>
  <si>
    <t>BUAH SEMANGKA</t>
  </si>
  <si>
    <t>BAWANG BOMBAY</t>
  </si>
  <si>
    <t>SAOS TOMAT</t>
  </si>
  <si>
    <t>DAUN JERUK</t>
  </si>
  <si>
    <t>MENTEGA</t>
  </si>
  <si>
    <t>MENU:BURGER BUN+CARAMELIZED ONION EGG+TUMIS PAKCOY+KEJU SLICE+BUAH PISANG AMBON</t>
  </si>
  <si>
    <t>Hari:Jumat 24 juli 2026</t>
  </si>
  <si>
    <t>BURGER BUN</t>
  </si>
  <si>
    <t>TELOR AYAM</t>
  </si>
  <si>
    <t>PAKCOY</t>
  </si>
  <si>
    <t>KEJU SLICE</t>
  </si>
  <si>
    <t>SLICE</t>
  </si>
  <si>
    <t>SAOS BBQ DELMONTE</t>
  </si>
  <si>
    <t>TOTAL RAB BAHAN BAKU 13-17 Juli 2026</t>
  </si>
  <si>
    <t>TANGGAL</t>
  </si>
  <si>
    <t>ANGGARAN</t>
  </si>
  <si>
    <t>REALISASI</t>
  </si>
  <si>
    <t>SELISIH</t>
  </si>
  <si>
    <t>20 JULI</t>
  </si>
  <si>
    <t>21 JULI</t>
  </si>
  <si>
    <t>22 JULI</t>
  </si>
  <si>
    <t>23 JULI</t>
  </si>
  <si>
    <t>24 JULI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</si>
</sst>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dd\-mmm"/>
    <numFmt numFmtId="177" formatCode="&quot;Rp&quot;#,##0.00"/>
    <numFmt numFmtId="178" formatCode="&quot;Rp&quot;* #,###"/>
    <numFmt numFmtId="179" formatCode="#\ ?/?"/>
  </numFmts>
  <fonts count="29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sz val="11"/>
      <name val="Times New Roman"/>
      <charset val="134"/>
    </font>
    <font>
      <b/>
      <sz val="12"/>
      <color theme="1"/>
      <name val="Times New Roman"/>
      <charset val="134"/>
    </font>
    <font>
      <sz val="12"/>
      <color theme="1"/>
      <name val="Times New Roman"/>
      <charset val="134"/>
    </font>
    <font>
      <b/>
      <sz val="11"/>
      <color theme="1"/>
      <name val="Times New Roman"/>
      <charset val="134"/>
    </font>
    <font>
      <sz val="11"/>
      <color theme="1"/>
      <name val="Times New Roman"/>
      <charset val="134"/>
    </font>
    <font>
      <sz val="11"/>
      <color theme="1"/>
      <name val="Calibri"/>
      <charset val="134"/>
    </font>
    <font>
      <b/>
      <sz val="24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6E3FF"/>
        <bgColor rgb="FF76E3FF"/>
      </patternFill>
    </fill>
    <fill>
      <patternFill patternType="solid">
        <fgColor rgb="FFA3DBFF"/>
        <bgColor rgb="FFA3DBFF"/>
      </patternFill>
    </fill>
    <fill>
      <patternFill patternType="solid">
        <fgColor theme="4" tint="0.599993896298105"/>
        <bgColor rgb="FFA3DBFF"/>
      </patternFill>
    </fill>
    <fill>
      <patternFill patternType="solid">
        <fgColor rgb="FFFFC000"/>
        <bgColor indexed="64"/>
      </patternFill>
    </fill>
    <fill>
      <patternFill patternType="solid">
        <fgColor theme="2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rgb="FF76E3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1" borderId="14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15" applyNumberFormat="0" applyFill="0" applyAlignment="0" applyProtection="0">
      <alignment vertical="center"/>
    </xf>
    <xf numFmtId="0" fontId="16" fillId="0" borderId="15" applyNumberFormat="0" applyFill="0" applyAlignment="0" applyProtection="0">
      <alignment vertical="center"/>
    </xf>
    <xf numFmtId="0" fontId="17" fillId="0" borderId="16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2" borderId="17" applyNumberFormat="0" applyAlignment="0" applyProtection="0">
      <alignment vertical="center"/>
    </xf>
    <xf numFmtId="0" fontId="19" fillId="13" borderId="18" applyNumberFormat="0" applyAlignment="0" applyProtection="0">
      <alignment vertical="center"/>
    </xf>
    <xf numFmtId="0" fontId="20" fillId="13" borderId="17" applyNumberFormat="0" applyAlignment="0" applyProtection="0">
      <alignment vertical="center"/>
    </xf>
    <xf numFmtId="0" fontId="21" fillId="14" borderId="19" applyNumberFormat="0" applyAlignment="0" applyProtection="0">
      <alignment vertical="center"/>
    </xf>
    <xf numFmtId="0" fontId="22" fillId="0" borderId="20" applyNumberFormat="0" applyFill="0" applyAlignment="0" applyProtection="0">
      <alignment vertical="center"/>
    </xf>
    <xf numFmtId="0" fontId="23" fillId="0" borderId="21" applyNumberFormat="0" applyFill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2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8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</cellStyleXfs>
  <cellXfs count="74">
    <xf numFmtId="0" fontId="0" fillId="0" borderId="0" xfId="0"/>
    <xf numFmtId="0" fontId="1" fillId="2" borderId="0" xfId="0" applyFont="1" applyFill="1" applyAlignment="1">
      <alignment horizontal="center"/>
    </xf>
    <xf numFmtId="0" fontId="1" fillId="2" borderId="1" xfId="0" applyFont="1" applyFill="1" applyBorder="1" applyAlignment="1">
      <alignment horizontal="center"/>
    </xf>
    <xf numFmtId="176" fontId="0" fillId="0" borderId="1" xfId="0" applyNumberFormat="1" applyBorder="1"/>
    <xf numFmtId="177" fontId="0" fillId="0" borderId="1" xfId="0" applyNumberFormat="1" applyBorder="1"/>
    <xf numFmtId="0" fontId="0" fillId="3" borderId="1" xfId="0" applyFill="1" applyBorder="1"/>
    <xf numFmtId="177" fontId="0" fillId="3" borderId="1" xfId="0" applyNumberFormat="1" applyFill="1" applyBorder="1"/>
    <xf numFmtId="177" fontId="1" fillId="3" borderId="1" xfId="0" applyNumberFormat="1" applyFont="1" applyFill="1" applyBorder="1"/>
    <xf numFmtId="0" fontId="2" fillId="4" borderId="0" xfId="0" applyFont="1" applyFill="1" applyBorder="1" applyAlignment="1">
      <alignment horizontal="center"/>
    </xf>
    <xf numFmtId="0" fontId="3" fillId="0" borderId="0" xfId="0" applyFont="1" applyBorder="1"/>
    <xf numFmtId="0" fontId="4" fillId="4" borderId="0" xfId="0" applyFont="1" applyFill="1" applyBorder="1" applyAlignment="1">
      <alignment horizontal="center"/>
    </xf>
    <xf numFmtId="0" fontId="3" fillId="3" borderId="0" xfId="0" applyFont="1" applyFill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5" fillId="0" borderId="0" xfId="0" applyFont="1"/>
    <xf numFmtId="0" fontId="6" fillId="5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2" xfId="0" applyFont="1" applyBorder="1"/>
    <xf numFmtId="0" fontId="7" fillId="0" borderId="2" xfId="0" applyFont="1" applyBorder="1" applyAlignment="1">
      <alignment horizontal="center"/>
    </xf>
    <xf numFmtId="178" fontId="7" fillId="0" borderId="2" xfId="0" applyNumberFormat="1" applyFont="1" applyBorder="1" applyAlignment="1">
      <alignment horizontal="center" vertical="center"/>
    </xf>
    <xf numFmtId="178" fontId="7" fillId="0" borderId="2" xfId="0" applyNumberFormat="1" applyFont="1" applyBorder="1" applyAlignment="1">
      <alignment horizontal="center"/>
    </xf>
    <xf numFmtId="0" fontId="7" fillId="0" borderId="3" xfId="0" applyFont="1" applyBorder="1" applyAlignment="1">
      <alignment horizontal="center" vertical="center"/>
    </xf>
    <xf numFmtId="0" fontId="7" fillId="0" borderId="3" xfId="0" applyFont="1" applyBorder="1"/>
    <xf numFmtId="0" fontId="7" fillId="0" borderId="3" xfId="0" applyFont="1" applyBorder="1" applyAlignment="1">
      <alignment horizontal="center"/>
    </xf>
    <xf numFmtId="178" fontId="7" fillId="0" borderId="3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/>
    <xf numFmtId="179" fontId="7" fillId="0" borderId="1" xfId="0" applyNumberFormat="1" applyFont="1" applyBorder="1" applyAlignment="1">
      <alignment horizontal="center"/>
    </xf>
    <xf numFmtId="178" fontId="7" fillId="0" borderId="1" xfId="0" applyNumberFormat="1" applyFont="1" applyBorder="1" applyAlignment="1">
      <alignment horizontal="center" vertical="center"/>
    </xf>
    <xf numFmtId="0" fontId="7" fillId="0" borderId="4" xfId="0" applyFont="1" applyBorder="1"/>
    <xf numFmtId="0" fontId="7" fillId="0" borderId="1" xfId="0" applyFont="1" applyBorder="1" applyAlignment="1">
      <alignment horizontal="center"/>
    </xf>
    <xf numFmtId="0" fontId="6" fillId="6" borderId="5" xfId="0" applyFont="1" applyFill="1" applyBorder="1" applyAlignment="1">
      <alignment horizontal="center"/>
    </xf>
    <xf numFmtId="0" fontId="3" fillId="2" borderId="6" xfId="0" applyFont="1" applyFill="1" applyBorder="1"/>
    <xf numFmtId="0" fontId="3" fillId="2" borderId="7" xfId="0" applyFont="1" applyFill="1" applyBorder="1"/>
    <xf numFmtId="178" fontId="7" fillId="2" borderId="8" xfId="0" applyNumberFormat="1" applyFont="1" applyFill="1" applyBorder="1" applyAlignment="1">
      <alignment horizontal="center"/>
    </xf>
    <xf numFmtId="0" fontId="6" fillId="6" borderId="2" xfId="0" applyFont="1" applyFill="1" applyBorder="1"/>
    <xf numFmtId="0" fontId="6" fillId="6" borderId="9" xfId="0" applyFont="1" applyFill="1" applyBorder="1" applyAlignment="1">
      <alignment horizontal="center" vertical="center"/>
    </xf>
    <xf numFmtId="0" fontId="3" fillId="2" borderId="10" xfId="0" applyFont="1" applyFill="1" applyBorder="1"/>
    <xf numFmtId="0" fontId="3" fillId="2" borderId="4" xfId="0" applyFont="1" applyFill="1" applyBorder="1"/>
    <xf numFmtId="178" fontId="3" fillId="7" borderId="0" xfId="0" applyNumberFormat="1" applyFont="1" applyFill="1" applyBorder="1"/>
    <xf numFmtId="0" fontId="6" fillId="6" borderId="9" xfId="0" applyFont="1" applyFill="1" applyBorder="1" applyAlignment="1">
      <alignment horizontal="center"/>
    </xf>
    <xf numFmtId="178" fontId="7" fillId="2" borderId="2" xfId="0" applyNumberFormat="1" applyFont="1" applyFill="1" applyBorder="1" applyAlignment="1">
      <alignment horizontal="center"/>
    </xf>
    <xf numFmtId="0" fontId="8" fillId="5" borderId="2" xfId="0" applyFont="1" applyFill="1" applyBorder="1" applyAlignment="1">
      <alignment horizontal="center"/>
    </xf>
    <xf numFmtId="0" fontId="8" fillId="5" borderId="9" xfId="0" applyFont="1" applyFill="1" applyBorder="1" applyAlignment="1">
      <alignment horizontal="center"/>
    </xf>
    <xf numFmtId="0" fontId="8" fillId="5" borderId="1" xfId="0" applyFont="1" applyFill="1" applyBorder="1" applyAlignment="1">
      <alignment horizontal="center"/>
    </xf>
    <xf numFmtId="0" fontId="8" fillId="5" borderId="1" xfId="0" applyFont="1" applyFill="1" applyBorder="1" applyAlignment="1">
      <alignment horizontal="center" vertical="center"/>
    </xf>
    <xf numFmtId="0" fontId="8" fillId="0" borderId="2" xfId="0" applyFont="1" applyBorder="1"/>
    <xf numFmtId="0" fontId="8" fillId="0" borderId="9" xfId="0" applyFont="1" applyBorder="1"/>
    <xf numFmtId="0" fontId="8" fillId="0" borderId="1" xfId="0" applyFont="1" applyBorder="1"/>
    <xf numFmtId="0" fontId="8" fillId="0" borderId="1" xfId="0" applyFont="1" applyBorder="1" applyAlignment="1">
      <alignment vertical="center"/>
    </xf>
    <xf numFmtId="178" fontId="8" fillId="0" borderId="1" xfId="0" applyNumberFormat="1" applyFont="1" applyBorder="1"/>
    <xf numFmtId="0" fontId="8" fillId="8" borderId="1" xfId="0" applyFont="1" applyFill="1" applyBorder="1"/>
    <xf numFmtId="0" fontId="0" fillId="9" borderId="0" xfId="0" applyFill="1"/>
    <xf numFmtId="0" fontId="8" fillId="9" borderId="9" xfId="0" applyFont="1" applyFill="1" applyBorder="1"/>
    <xf numFmtId="0" fontId="8" fillId="0" borderId="3" xfId="0" applyFont="1" applyBorder="1"/>
    <xf numFmtId="0" fontId="8" fillId="0" borderId="11" xfId="0" applyFont="1" applyBorder="1"/>
    <xf numFmtId="0" fontId="8" fillId="9" borderId="1" xfId="0" applyFont="1" applyFill="1" applyBorder="1"/>
    <xf numFmtId="0" fontId="8" fillId="9" borderId="12" xfId="0" applyFont="1" applyFill="1" applyBorder="1"/>
    <xf numFmtId="178" fontId="8" fillId="9" borderId="1" xfId="0" applyNumberFormat="1" applyFont="1" applyFill="1" applyBorder="1"/>
    <xf numFmtId="0" fontId="0" fillId="0" borderId="1" xfId="0" applyBorder="1"/>
    <xf numFmtId="0" fontId="0" fillId="0" borderId="12" xfId="0" applyBorder="1"/>
    <xf numFmtId="0" fontId="0" fillId="9" borderId="1" xfId="0" applyFill="1" applyBorder="1"/>
    <xf numFmtId="0" fontId="0" fillId="9" borderId="12" xfId="0" applyFill="1" applyBorder="1"/>
    <xf numFmtId="0" fontId="0" fillId="0" borderId="0" xfId="0" applyBorder="1"/>
    <xf numFmtId="0" fontId="8" fillId="3" borderId="1" xfId="0" applyFont="1" applyFill="1" applyBorder="1"/>
    <xf numFmtId="178" fontId="8" fillId="3" borderId="1" xfId="0" applyNumberFormat="1" applyFont="1" applyFill="1" applyBorder="1"/>
    <xf numFmtId="0" fontId="9" fillId="3" borderId="13" xfId="0" applyFont="1" applyFill="1" applyBorder="1" applyAlignment="1">
      <alignment horizontal="center" vertical="center"/>
    </xf>
    <xf numFmtId="0" fontId="9" fillId="3" borderId="0" xfId="0" applyFont="1" applyFill="1" applyBorder="1" applyAlignment="1">
      <alignment horizontal="center" vertical="center"/>
    </xf>
    <xf numFmtId="0" fontId="8" fillId="8" borderId="0" xfId="0" applyFont="1" applyFill="1" applyBorder="1"/>
    <xf numFmtId="178" fontId="8" fillId="0" borderId="0" xfId="0" applyNumberFormat="1" applyFont="1" applyBorder="1"/>
    <xf numFmtId="178" fontId="8" fillId="7" borderId="0" xfId="0" applyNumberFormat="1" applyFont="1" applyFill="1" applyBorder="1"/>
    <xf numFmtId="177" fontId="0" fillId="0" borderId="0" xfId="0" applyNumberFormat="1"/>
    <xf numFmtId="0" fontId="7" fillId="9" borderId="2" xfId="0" applyFont="1" applyFill="1" applyBorder="1" applyAlignment="1">
      <alignment horizontal="center"/>
    </xf>
    <xf numFmtId="179" fontId="7" fillId="9" borderId="2" xfId="0" applyNumberFormat="1" applyFont="1" applyFill="1" applyBorder="1" applyAlignment="1">
      <alignment horizontal="center"/>
    </xf>
    <xf numFmtId="0" fontId="6" fillId="10" borderId="0" xfId="0" applyFont="1" applyFill="1" applyBorder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J1013"/>
  <sheetViews>
    <sheetView topLeftCell="A6" workbookViewId="0">
      <selection activeCell="E9" sqref="E9"/>
    </sheetView>
  </sheetViews>
  <sheetFormatPr defaultColWidth="14.5" defaultRowHeight="15" customHeight="1"/>
  <cols>
    <col min="1" max="1" width="5.6640625" customWidth="1"/>
    <col min="2" max="2" width="19" customWidth="1"/>
    <col min="3" max="3" width="15.5" customWidth="1"/>
    <col min="4" max="4" width="21" customWidth="1"/>
    <col min="5" max="5" width="18.8359375" customWidth="1"/>
    <col min="6" max="6" width="18.5" customWidth="1"/>
    <col min="7" max="7" width="22.5" customWidth="1"/>
    <col min="8" max="8" width="8.6640625" customWidth="1"/>
    <col min="9" max="9" width="5.1640625" customWidth="1"/>
    <col min="10" max="10" width="34.5" customWidth="1"/>
    <col min="11" max="11" width="3.8359375" customWidth="1"/>
    <col min="12" max="12" width="16.5" customWidth="1"/>
    <col min="13" max="13" width="14.8359375" customWidth="1"/>
    <col min="14" max="25" width="8.6640625" customWidth="1"/>
  </cols>
  <sheetData>
    <row r="2" ht="20.4" spans="1:10">
      <c r="A2" s="8" t="s">
        <v>0</v>
      </c>
      <c r="B2" s="9"/>
      <c r="C2" s="9"/>
      <c r="D2" s="9"/>
      <c r="E2" s="9"/>
      <c r="F2" s="9"/>
      <c r="G2" s="9"/>
    </row>
    <row r="3" ht="17.6" spans="1:10">
      <c r="A3" s="10" t="s">
        <v>1</v>
      </c>
      <c r="B3" s="9"/>
      <c r="C3" s="9"/>
      <c r="D3" s="9"/>
      <c r="E3" s="9"/>
      <c r="F3" s="9"/>
      <c r="G3" s="9"/>
    </row>
    <row r="4" ht="17.6" spans="1:10">
      <c r="A4" s="10" t="s">
        <v>2</v>
      </c>
      <c r="B4" s="9"/>
      <c r="C4" s="9"/>
      <c r="D4" s="9"/>
      <c r="E4" s="9"/>
      <c r="F4" s="9"/>
      <c r="G4" s="9"/>
    </row>
    <row r="5" ht="15.5" customHeight="1" spans="1:10">
      <c r="A5" s="11" t="s">
        <v>3</v>
      </c>
      <c r="B5" s="11"/>
      <c r="C5" s="11"/>
      <c r="D5" s="11"/>
      <c r="E5" s="11"/>
      <c r="F5" s="11"/>
      <c r="G5" s="11"/>
    </row>
    <row r="6" ht="31.25" customHeight="1" spans="1:10">
      <c r="A6" s="12" t="s">
        <v>4</v>
      </c>
      <c r="B6" s="13"/>
      <c r="C6" s="13"/>
      <c r="D6" s="13"/>
      <c r="E6" s="13"/>
      <c r="F6" s="13"/>
      <c r="G6" s="13"/>
      <c r="J6" s="70"/>
    </row>
    <row r="7" ht="16.8" spans="1:10">
      <c r="A7" s="14" t="s">
        <v>5</v>
      </c>
      <c r="B7" s="14" t="s">
        <v>6</v>
      </c>
      <c r="C7" s="14" t="s">
        <v>7</v>
      </c>
      <c r="D7" s="14" t="s">
        <v>8</v>
      </c>
      <c r="E7" s="14" t="s">
        <v>9</v>
      </c>
      <c r="F7" s="14" t="s">
        <v>10</v>
      </c>
      <c r="G7" s="14" t="s">
        <v>11</v>
      </c>
      <c r="J7" s="70"/>
    </row>
    <row r="8" ht="15.75" customHeight="1" spans="1:10">
      <c r="A8" s="15">
        <v>1</v>
      </c>
      <c r="B8" s="16" t="s">
        <v>12</v>
      </c>
      <c r="C8" s="17">
        <v>206</v>
      </c>
      <c r="D8" s="16" t="s">
        <v>13</v>
      </c>
      <c r="E8" s="18">
        <v>15000</v>
      </c>
      <c r="F8" s="19">
        <f>E8*C8</f>
        <v>3090000</v>
      </c>
      <c r="G8" s="16"/>
    </row>
    <row r="9" ht="15.75" customHeight="1" spans="1:10">
      <c r="A9" s="15">
        <v>2</v>
      </c>
      <c r="B9" s="16" t="s">
        <v>14</v>
      </c>
      <c r="C9" s="17">
        <v>284</v>
      </c>
      <c r="D9" s="16" t="s">
        <v>13</v>
      </c>
      <c r="E9" s="18">
        <v>36000</v>
      </c>
      <c r="F9" s="19">
        <f t="shared" ref="F9:F28" si="0">E9*C9</f>
        <v>10224000</v>
      </c>
      <c r="G9" s="16"/>
    </row>
    <row r="10" ht="15.75" customHeight="1" spans="1:10">
      <c r="A10" s="15">
        <v>3</v>
      </c>
      <c r="B10" s="16" t="s">
        <v>15</v>
      </c>
      <c r="C10" s="17">
        <v>88</v>
      </c>
      <c r="D10" s="16" t="s">
        <v>13</v>
      </c>
      <c r="E10" s="18">
        <v>15000</v>
      </c>
      <c r="F10" s="19">
        <f t="shared" si="0"/>
        <v>1320000</v>
      </c>
      <c r="G10" s="16"/>
    </row>
    <row r="11" ht="15.75" customHeight="1" spans="1:10">
      <c r="A11" s="15">
        <v>4</v>
      </c>
      <c r="B11" s="16" t="s">
        <v>16</v>
      </c>
      <c r="C11" s="17">
        <v>135</v>
      </c>
      <c r="D11" s="16" t="s">
        <v>13</v>
      </c>
      <c r="E11" s="18">
        <v>12000</v>
      </c>
      <c r="F11" s="19">
        <f t="shared" si="0"/>
        <v>1620000</v>
      </c>
      <c r="G11" s="16"/>
    </row>
    <row r="12" ht="15.75" customHeight="1" spans="1:10">
      <c r="A12" s="15">
        <v>5</v>
      </c>
      <c r="B12" s="16" t="s">
        <v>17</v>
      </c>
      <c r="C12" s="17">
        <v>113</v>
      </c>
      <c r="D12" s="16" t="s">
        <v>13</v>
      </c>
      <c r="E12" s="18">
        <v>12000</v>
      </c>
      <c r="F12" s="19">
        <f t="shared" si="0"/>
        <v>1356000</v>
      </c>
      <c r="G12" s="16"/>
    </row>
    <row r="13" ht="15.75" customHeight="1" spans="1:10">
      <c r="A13" s="15">
        <v>6</v>
      </c>
      <c r="B13" s="16" t="s">
        <v>18</v>
      </c>
      <c r="C13" s="17">
        <v>162</v>
      </c>
      <c r="D13" s="16" t="s">
        <v>13</v>
      </c>
      <c r="E13" s="18">
        <v>45000</v>
      </c>
      <c r="F13" s="19">
        <f t="shared" si="0"/>
        <v>7290000</v>
      </c>
      <c r="G13" s="16"/>
    </row>
    <row r="14" ht="15.75" customHeight="1" spans="1:10">
      <c r="A14" s="15">
        <v>7</v>
      </c>
      <c r="B14" s="16" t="s">
        <v>19</v>
      </c>
      <c r="C14" s="71">
        <v>3</v>
      </c>
      <c r="D14" s="16" t="s">
        <v>20</v>
      </c>
      <c r="E14" s="18">
        <v>240000</v>
      </c>
      <c r="F14" s="19">
        <f t="shared" si="0"/>
        <v>720000</v>
      </c>
      <c r="G14" s="16"/>
    </row>
    <row r="15" ht="15.75" customHeight="1" spans="1:10">
      <c r="A15" s="15">
        <v>8</v>
      </c>
      <c r="B15" s="16" t="s">
        <v>21</v>
      </c>
      <c r="C15" s="71">
        <v>4</v>
      </c>
      <c r="D15" s="16" t="s">
        <v>13</v>
      </c>
      <c r="E15" s="18">
        <v>42000</v>
      </c>
      <c r="F15" s="19">
        <f t="shared" si="0"/>
        <v>168000</v>
      </c>
      <c r="G15" s="16"/>
    </row>
    <row r="16" ht="15.75" customHeight="1" spans="1:10">
      <c r="A16" s="15">
        <v>9</v>
      </c>
      <c r="B16" s="16" t="s">
        <v>22</v>
      </c>
      <c r="C16" s="71">
        <v>2</v>
      </c>
      <c r="D16" s="16" t="s">
        <v>13</v>
      </c>
      <c r="E16" s="18">
        <v>40000</v>
      </c>
      <c r="F16" s="19">
        <f t="shared" si="0"/>
        <v>80000</v>
      </c>
      <c r="G16" s="16"/>
    </row>
    <row r="17" ht="15.75" customHeight="1" spans="1:7">
      <c r="A17" s="15">
        <v>10</v>
      </c>
      <c r="B17" s="16" t="s">
        <v>23</v>
      </c>
      <c r="C17" s="72">
        <v>10</v>
      </c>
      <c r="D17" s="16" t="s">
        <v>13</v>
      </c>
      <c r="E17" s="18">
        <v>17000</v>
      </c>
      <c r="F17" s="19">
        <f t="shared" si="0"/>
        <v>170000</v>
      </c>
      <c r="G17" s="16"/>
    </row>
    <row r="18" ht="15.75" customHeight="1" spans="1:7">
      <c r="A18" s="15">
        <v>11</v>
      </c>
      <c r="B18" s="16" t="s">
        <v>24</v>
      </c>
      <c r="C18" s="72">
        <v>5</v>
      </c>
      <c r="D18" s="16" t="s">
        <v>13</v>
      </c>
      <c r="E18" s="18">
        <v>23000</v>
      </c>
      <c r="F18" s="19">
        <f t="shared" si="0"/>
        <v>115000</v>
      </c>
      <c r="G18" s="16"/>
    </row>
    <row r="19" ht="15.75" customHeight="1" spans="1:7">
      <c r="A19" s="15">
        <v>12</v>
      </c>
      <c r="B19" s="16" t="s">
        <v>25</v>
      </c>
      <c r="C19" s="72">
        <v>2</v>
      </c>
      <c r="D19" s="16" t="s">
        <v>13</v>
      </c>
      <c r="E19" s="18">
        <v>40000</v>
      </c>
      <c r="F19" s="19">
        <f t="shared" si="0"/>
        <v>80000</v>
      </c>
      <c r="G19" s="16"/>
    </row>
    <row r="20" ht="15.75" customHeight="1" spans="1:7">
      <c r="A20" s="15">
        <v>14</v>
      </c>
      <c r="B20" s="16" t="s">
        <v>26</v>
      </c>
      <c r="C20" s="72">
        <v>1</v>
      </c>
      <c r="D20" s="16" t="s">
        <v>27</v>
      </c>
      <c r="E20" s="18">
        <v>42000</v>
      </c>
      <c r="F20" s="19">
        <f t="shared" si="0"/>
        <v>42000</v>
      </c>
      <c r="G20" s="16" t="s">
        <v>28</v>
      </c>
    </row>
    <row r="21" ht="15.75" customHeight="1" spans="1:7">
      <c r="A21" s="15">
        <v>15</v>
      </c>
      <c r="B21" s="16" t="s">
        <v>29</v>
      </c>
      <c r="C21" s="72">
        <v>10</v>
      </c>
      <c r="D21" s="16" t="s">
        <v>13</v>
      </c>
      <c r="E21" s="18">
        <v>15000</v>
      </c>
      <c r="F21" s="19">
        <f t="shared" si="0"/>
        <v>150000</v>
      </c>
      <c r="G21" s="16"/>
    </row>
    <row r="22" ht="15.75" customHeight="1" spans="1:7">
      <c r="A22" s="15">
        <v>16</v>
      </c>
      <c r="B22" s="16" t="s">
        <v>30</v>
      </c>
      <c r="C22" s="72">
        <v>3</v>
      </c>
      <c r="D22" s="16" t="s">
        <v>13</v>
      </c>
      <c r="E22" s="18">
        <v>25000</v>
      </c>
      <c r="F22" s="19">
        <f t="shared" si="0"/>
        <v>75000</v>
      </c>
      <c r="G22" s="16"/>
    </row>
    <row r="23" ht="15.75" customHeight="1" spans="1:7">
      <c r="A23" s="15">
        <v>17</v>
      </c>
      <c r="B23" s="16" t="s">
        <v>31</v>
      </c>
      <c r="C23" s="72">
        <v>10</v>
      </c>
      <c r="D23" s="16" t="s">
        <v>32</v>
      </c>
      <c r="E23" s="18">
        <v>2000</v>
      </c>
      <c r="F23" s="19">
        <f t="shared" si="0"/>
        <v>20000</v>
      </c>
      <c r="G23" s="16" t="s">
        <v>33</v>
      </c>
    </row>
    <row r="24" ht="15.75" customHeight="1" spans="1:7">
      <c r="A24" s="15">
        <v>18</v>
      </c>
      <c r="B24" s="16" t="s">
        <v>34</v>
      </c>
      <c r="C24" s="72">
        <v>6</v>
      </c>
      <c r="D24" s="16" t="s">
        <v>32</v>
      </c>
      <c r="E24" s="18">
        <v>25000</v>
      </c>
      <c r="F24" s="19">
        <f t="shared" si="0"/>
        <v>150000</v>
      </c>
      <c r="G24" s="16" t="s">
        <v>33</v>
      </c>
    </row>
    <row r="25" ht="15.75" customHeight="1" spans="1:7">
      <c r="A25" s="15">
        <v>19</v>
      </c>
      <c r="B25" s="16" t="s">
        <v>35</v>
      </c>
      <c r="C25" s="72">
        <v>1</v>
      </c>
      <c r="D25" s="16" t="s">
        <v>13</v>
      </c>
      <c r="E25" s="18">
        <v>21000</v>
      </c>
      <c r="F25" s="19">
        <f t="shared" si="0"/>
        <v>21000</v>
      </c>
      <c r="G25" s="16"/>
    </row>
    <row r="26" ht="15.75" customHeight="1" spans="1:7">
      <c r="A26" s="15">
        <v>20</v>
      </c>
      <c r="B26" s="16" t="s">
        <v>36</v>
      </c>
      <c r="C26" s="72">
        <v>1</v>
      </c>
      <c r="D26" s="16" t="s">
        <v>37</v>
      </c>
      <c r="E26" s="18">
        <v>60000</v>
      </c>
      <c r="F26" s="19">
        <f t="shared" si="0"/>
        <v>60000</v>
      </c>
      <c r="G26" s="16"/>
    </row>
    <row r="27" ht="15.75" customHeight="1" spans="1:7">
      <c r="A27" s="15">
        <v>21</v>
      </c>
      <c r="B27" s="16" t="s">
        <v>38</v>
      </c>
      <c r="C27" s="72">
        <v>1</v>
      </c>
      <c r="D27" s="16" t="s">
        <v>37</v>
      </c>
      <c r="E27" s="18">
        <v>60000</v>
      </c>
      <c r="F27" s="19">
        <f t="shared" si="0"/>
        <v>60000</v>
      </c>
      <c r="G27" s="16"/>
    </row>
    <row r="28" ht="15.75" customHeight="1" spans="1:7">
      <c r="A28" s="15">
        <v>22</v>
      </c>
      <c r="B28" s="16" t="s">
        <v>39</v>
      </c>
      <c r="C28" s="72">
        <v>1</v>
      </c>
      <c r="D28" s="16" t="s">
        <v>27</v>
      </c>
      <c r="E28" s="18">
        <v>180000</v>
      </c>
      <c r="F28" s="19">
        <f t="shared" si="0"/>
        <v>180000</v>
      </c>
      <c r="G28" s="16" t="s">
        <v>28</v>
      </c>
    </row>
    <row r="29" ht="15.75" customHeight="1" spans="1:7">
      <c r="A29" s="39" t="s">
        <v>40</v>
      </c>
      <c r="B29" s="36"/>
      <c r="C29" s="36"/>
      <c r="D29" s="36"/>
      <c r="E29" s="37"/>
      <c r="F29" s="40">
        <f>SUM(F8:F28)</f>
        <v>26991000</v>
      </c>
      <c r="G29" s="34"/>
    </row>
    <row r="30" ht="15.75" customHeight="1" spans="1:7">
      <c r="A30" s="35" t="s">
        <v>41</v>
      </c>
      <c r="B30" s="36"/>
      <c r="C30" s="36"/>
      <c r="D30" s="36"/>
      <c r="E30" s="37"/>
      <c r="F30" s="38">
        <f>SUM(F35:F82)</f>
        <v>25274000</v>
      </c>
      <c r="G30" s="34"/>
    </row>
    <row r="31" ht="15.75" customHeight="1" spans="1:7">
      <c r="A31" s="39" t="s">
        <v>42</v>
      </c>
      <c r="B31" s="36"/>
      <c r="C31" s="36"/>
      <c r="D31" s="36"/>
      <c r="E31" s="37"/>
      <c r="F31" s="40">
        <f>SUM(F30-F29)</f>
        <v>-1717000</v>
      </c>
      <c r="G31" s="34"/>
    </row>
    <row r="32" ht="15.75" customHeight="1"/>
    <row r="33" ht="15.75" customHeight="1"/>
    <row r="34" ht="15.75" customHeight="1" spans="1:7">
      <c r="A34" s="41" t="s">
        <v>5</v>
      </c>
      <c r="B34" s="42" t="s">
        <v>43</v>
      </c>
      <c r="C34" s="43" t="s">
        <v>44</v>
      </c>
      <c r="D34" s="44" t="s">
        <v>45</v>
      </c>
      <c r="E34" s="43" t="s">
        <v>46</v>
      </c>
      <c r="F34" s="43" t="s">
        <v>10</v>
      </c>
    </row>
    <row r="35" ht="15.75" customHeight="1" spans="1:7">
      <c r="A35" s="45">
        <v>1</v>
      </c>
      <c r="B35" s="46" t="s">
        <v>47</v>
      </c>
      <c r="C35" s="47" t="s">
        <v>48</v>
      </c>
      <c r="D35" s="48">
        <v>123</v>
      </c>
      <c r="E35" s="49">
        <v>8000</v>
      </c>
      <c r="F35" s="49">
        <f>E35*D35</f>
        <v>984000</v>
      </c>
    </row>
    <row r="36" ht="15.75" customHeight="1" spans="1:7">
      <c r="A36" s="45"/>
      <c r="B36" s="46"/>
      <c r="C36" s="50" t="s">
        <v>49</v>
      </c>
      <c r="D36" s="48">
        <v>119</v>
      </c>
      <c r="E36" s="49">
        <v>10000</v>
      </c>
      <c r="F36" s="49">
        <f t="shared" ref="F36:F72" si="1">E36*D36</f>
        <v>1190000</v>
      </c>
      <c r="G36" s="51"/>
    </row>
    <row r="37" ht="15.75" customHeight="1" spans="1:7">
      <c r="A37" s="45">
        <v>2</v>
      </c>
      <c r="B37" s="46" t="s">
        <v>50</v>
      </c>
      <c r="C37" s="47" t="s">
        <v>48</v>
      </c>
      <c r="D37" s="47">
        <v>26</v>
      </c>
      <c r="E37" s="49">
        <v>8000</v>
      </c>
      <c r="F37" s="49">
        <f t="shared" si="1"/>
        <v>208000</v>
      </c>
    </row>
    <row r="38" ht="15.75" customHeight="1" spans="1:7">
      <c r="A38" s="45"/>
      <c r="B38" s="46"/>
      <c r="C38" s="50" t="s">
        <v>49</v>
      </c>
      <c r="D38" s="47">
        <v>6</v>
      </c>
      <c r="E38" s="49">
        <v>10000</v>
      </c>
      <c r="F38" s="49">
        <f t="shared" si="1"/>
        <v>60000</v>
      </c>
    </row>
    <row r="39" ht="15.75" customHeight="1" spans="1:7">
      <c r="A39" s="45">
        <v>3</v>
      </c>
      <c r="B39" s="46" t="s">
        <v>51</v>
      </c>
      <c r="C39" s="47" t="s">
        <v>48</v>
      </c>
      <c r="D39" s="47">
        <v>108</v>
      </c>
      <c r="E39" s="49">
        <v>8000</v>
      </c>
      <c r="F39" s="49">
        <f t="shared" si="1"/>
        <v>864000</v>
      </c>
    </row>
    <row r="40" ht="15.75" customHeight="1" spans="1:7">
      <c r="A40" s="45"/>
      <c r="B40" s="46"/>
      <c r="C40" s="50" t="s">
        <v>49</v>
      </c>
      <c r="D40" s="47">
        <v>86</v>
      </c>
      <c r="E40" s="49">
        <v>10000</v>
      </c>
      <c r="F40" s="49">
        <f t="shared" si="1"/>
        <v>860000</v>
      </c>
    </row>
    <row r="41" ht="15.75" customHeight="1" spans="1:7">
      <c r="A41" s="45">
        <v>4</v>
      </c>
      <c r="B41" s="52" t="s">
        <v>52</v>
      </c>
      <c r="C41" s="47" t="s">
        <v>48</v>
      </c>
      <c r="D41" s="47">
        <v>132</v>
      </c>
      <c r="E41" s="49">
        <v>8000</v>
      </c>
      <c r="F41" s="49">
        <f t="shared" si="1"/>
        <v>1056000</v>
      </c>
    </row>
    <row r="42" ht="15.75" customHeight="1" spans="1:7">
      <c r="A42" s="45"/>
      <c r="B42" s="46"/>
      <c r="C42" s="50" t="s">
        <v>49</v>
      </c>
      <c r="D42" s="47">
        <v>147</v>
      </c>
      <c r="E42" s="49">
        <v>10000</v>
      </c>
      <c r="F42" s="49">
        <f t="shared" si="1"/>
        <v>1470000</v>
      </c>
    </row>
    <row r="43" ht="15.75" customHeight="1" spans="1:7">
      <c r="A43" s="45">
        <v>5</v>
      </c>
      <c r="B43" s="46" t="s">
        <v>53</v>
      </c>
      <c r="C43" s="47" t="s">
        <v>48</v>
      </c>
      <c r="D43" s="47">
        <v>75</v>
      </c>
      <c r="E43" s="49">
        <v>8000</v>
      </c>
      <c r="F43" s="49">
        <f t="shared" si="1"/>
        <v>600000</v>
      </c>
    </row>
    <row r="44" ht="15.75" customHeight="1" spans="1:7">
      <c r="A44" s="45"/>
      <c r="B44" s="46"/>
      <c r="C44" s="50" t="s">
        <v>49</v>
      </c>
      <c r="D44" s="47">
        <v>105</v>
      </c>
      <c r="E44" s="49">
        <v>10000</v>
      </c>
      <c r="F44" s="49">
        <f t="shared" si="1"/>
        <v>1050000</v>
      </c>
    </row>
    <row r="45" ht="15.75" customHeight="1" spans="1:7">
      <c r="A45" s="45">
        <v>6</v>
      </c>
      <c r="B45" s="46" t="s">
        <v>54</v>
      </c>
      <c r="C45" s="47" t="s">
        <v>48</v>
      </c>
      <c r="D45" s="47">
        <v>49</v>
      </c>
      <c r="E45" s="49">
        <v>8000</v>
      </c>
      <c r="F45" s="49">
        <f t="shared" si="1"/>
        <v>392000</v>
      </c>
    </row>
    <row r="46" ht="15.75" customHeight="1" spans="1:7">
      <c r="A46" s="53"/>
      <c r="B46" s="54"/>
      <c r="C46" s="50" t="s">
        <v>49</v>
      </c>
      <c r="D46" s="47">
        <v>7</v>
      </c>
      <c r="E46" s="49">
        <v>10000</v>
      </c>
      <c r="F46" s="49">
        <f t="shared" si="1"/>
        <v>70000</v>
      </c>
    </row>
    <row r="47" ht="15.75" customHeight="1" spans="1:7">
      <c r="A47" s="55">
        <v>7</v>
      </c>
      <c r="B47" s="56" t="s">
        <v>55</v>
      </c>
      <c r="C47" s="55" t="s">
        <v>48</v>
      </c>
      <c r="D47" s="55">
        <v>28</v>
      </c>
      <c r="E47" s="57">
        <v>8000</v>
      </c>
      <c r="F47" s="57">
        <f t="shared" si="1"/>
        <v>224000</v>
      </c>
    </row>
    <row r="48" ht="15.75" customHeight="1" spans="1:7">
      <c r="A48" s="55"/>
      <c r="B48" s="56"/>
      <c r="C48" s="55" t="s">
        <v>49</v>
      </c>
      <c r="D48" s="55">
        <v>6</v>
      </c>
      <c r="E48" s="57">
        <v>10000</v>
      </c>
      <c r="F48" s="57">
        <f t="shared" si="1"/>
        <v>60000</v>
      </c>
    </row>
    <row r="49" ht="15.75" customHeight="1" spans="1:6">
      <c r="A49" s="58">
        <v>9</v>
      </c>
      <c r="B49" s="59" t="s">
        <v>56</v>
      </c>
      <c r="C49" s="47" t="s">
        <v>48</v>
      </c>
      <c r="D49" s="47">
        <v>13</v>
      </c>
      <c r="E49" s="49">
        <v>8000</v>
      </c>
      <c r="F49" s="49">
        <f t="shared" si="1"/>
        <v>104000</v>
      </c>
    </row>
    <row r="50" ht="15.75" customHeight="1" spans="1:6">
      <c r="A50" s="58"/>
      <c r="B50" s="59"/>
      <c r="C50" s="50" t="s">
        <v>49</v>
      </c>
      <c r="D50" s="47">
        <v>4</v>
      </c>
      <c r="E50" s="49">
        <v>10000</v>
      </c>
      <c r="F50" s="49">
        <f t="shared" si="1"/>
        <v>40000</v>
      </c>
    </row>
    <row r="51" ht="15.75" customHeight="1" spans="1:6">
      <c r="A51" s="58">
        <v>10</v>
      </c>
      <c r="B51" s="59" t="s">
        <v>57</v>
      </c>
      <c r="C51" s="47" t="s">
        <v>48</v>
      </c>
      <c r="D51" s="47">
        <v>40</v>
      </c>
      <c r="E51" s="49">
        <v>8000</v>
      </c>
      <c r="F51" s="49">
        <f t="shared" si="1"/>
        <v>320000</v>
      </c>
    </row>
    <row r="52" ht="15.75" customHeight="1" spans="1:6">
      <c r="A52" s="58"/>
      <c r="B52" s="59"/>
      <c r="C52" s="50" t="s">
        <v>49</v>
      </c>
      <c r="D52" s="47">
        <v>10</v>
      </c>
      <c r="E52" s="49">
        <v>10000</v>
      </c>
      <c r="F52" s="49">
        <f t="shared" si="1"/>
        <v>100000</v>
      </c>
    </row>
    <row r="53" ht="15.75" customHeight="1" spans="1:6">
      <c r="A53" s="58">
        <v>11</v>
      </c>
      <c r="B53" s="59" t="s">
        <v>58</v>
      </c>
      <c r="C53" s="47" t="s">
        <v>48</v>
      </c>
      <c r="D53" s="47">
        <v>79</v>
      </c>
      <c r="E53" s="49">
        <v>8000</v>
      </c>
      <c r="F53" s="49">
        <f t="shared" si="1"/>
        <v>632000</v>
      </c>
    </row>
    <row r="54" ht="15.75" customHeight="1" spans="1:6">
      <c r="A54" s="58"/>
      <c r="B54" s="59"/>
      <c r="C54" s="50" t="s">
        <v>49</v>
      </c>
      <c r="D54" s="47">
        <v>14</v>
      </c>
      <c r="E54" s="49">
        <v>10000</v>
      </c>
      <c r="F54" s="49">
        <f t="shared" si="1"/>
        <v>140000</v>
      </c>
    </row>
    <row r="55" ht="15.75" customHeight="1" spans="1:6">
      <c r="A55" s="58">
        <v>12</v>
      </c>
      <c r="B55" s="59" t="s">
        <v>59</v>
      </c>
      <c r="C55" s="47" t="s">
        <v>48</v>
      </c>
      <c r="D55" s="47">
        <v>42</v>
      </c>
      <c r="E55" s="49">
        <v>8000</v>
      </c>
      <c r="F55" s="49">
        <f t="shared" si="1"/>
        <v>336000</v>
      </c>
    </row>
    <row r="56" ht="15.75" customHeight="1" spans="1:6">
      <c r="A56" s="58"/>
      <c r="B56" s="59"/>
      <c r="C56" s="50" t="s">
        <v>49</v>
      </c>
      <c r="D56" s="47">
        <v>7</v>
      </c>
      <c r="E56" s="49">
        <v>10000</v>
      </c>
      <c r="F56" s="49">
        <f t="shared" si="1"/>
        <v>70000</v>
      </c>
    </row>
    <row r="57" ht="15.75" customHeight="1" spans="1:6">
      <c r="A57" s="60">
        <v>13</v>
      </c>
      <c r="B57" s="61" t="s">
        <v>60</v>
      </c>
      <c r="C57" s="55" t="s">
        <v>48</v>
      </c>
      <c r="D57" s="55">
        <v>23</v>
      </c>
      <c r="E57" s="57">
        <v>8000</v>
      </c>
      <c r="F57" s="57">
        <f t="shared" si="1"/>
        <v>184000</v>
      </c>
    </row>
    <row r="58" ht="15.75" customHeight="1" spans="1:6">
      <c r="A58" s="60"/>
      <c r="B58" s="61"/>
      <c r="C58" s="55" t="s">
        <v>49</v>
      </c>
      <c r="D58" s="55">
        <v>3</v>
      </c>
      <c r="E58" s="57">
        <v>10000</v>
      </c>
      <c r="F58" s="57">
        <f t="shared" si="1"/>
        <v>30000</v>
      </c>
    </row>
    <row r="59" ht="15.75" customHeight="1" spans="1:6">
      <c r="A59" s="58">
        <v>14</v>
      </c>
      <c r="B59" s="59" t="s">
        <v>61</v>
      </c>
      <c r="C59" s="47" t="s">
        <v>48</v>
      </c>
      <c r="D59" s="47">
        <v>16</v>
      </c>
      <c r="E59" s="49">
        <v>8000</v>
      </c>
      <c r="F59" s="49">
        <f t="shared" si="1"/>
        <v>128000</v>
      </c>
    </row>
    <row r="60" ht="15.75" customHeight="1" spans="1:6">
      <c r="A60" s="58"/>
      <c r="B60" s="59"/>
      <c r="C60" s="50" t="s">
        <v>49</v>
      </c>
      <c r="D60" s="47">
        <v>4</v>
      </c>
      <c r="E60" s="49">
        <v>10000</v>
      </c>
      <c r="F60" s="49">
        <f t="shared" si="1"/>
        <v>40000</v>
      </c>
    </row>
    <row r="61" ht="15.75" customHeight="1" spans="1:6">
      <c r="A61" s="58">
        <v>15</v>
      </c>
      <c r="B61" s="59" t="s">
        <v>62</v>
      </c>
      <c r="C61" s="47" t="s">
        <v>48</v>
      </c>
      <c r="D61" s="58"/>
      <c r="E61" s="49">
        <v>8000</v>
      </c>
      <c r="F61" s="49">
        <f t="shared" si="1"/>
        <v>0</v>
      </c>
    </row>
    <row r="62" ht="15.75" customHeight="1" spans="1:6">
      <c r="A62" s="58"/>
      <c r="B62" s="59"/>
      <c r="C62" s="50" t="s">
        <v>49</v>
      </c>
      <c r="D62" s="58">
        <v>55</v>
      </c>
      <c r="E62" s="49">
        <v>10000</v>
      </c>
      <c r="F62" s="49">
        <f t="shared" si="1"/>
        <v>550000</v>
      </c>
    </row>
    <row r="63" ht="15.75" customHeight="1" spans="1:6">
      <c r="A63" s="58">
        <v>16</v>
      </c>
      <c r="B63" s="58" t="s">
        <v>63</v>
      </c>
      <c r="C63" s="47" t="s">
        <v>48</v>
      </c>
      <c r="D63" s="58">
        <v>327</v>
      </c>
      <c r="E63" s="49">
        <v>8000</v>
      </c>
      <c r="F63" s="49">
        <f t="shared" si="1"/>
        <v>2616000</v>
      </c>
    </row>
    <row r="64" ht="15.75" customHeight="1" spans="1:6">
      <c r="A64" s="58"/>
      <c r="B64" s="58"/>
      <c r="C64" s="50" t="s">
        <v>49</v>
      </c>
      <c r="D64" s="58">
        <v>402</v>
      </c>
      <c r="E64" s="49">
        <v>10000</v>
      </c>
      <c r="F64" s="49">
        <f t="shared" si="1"/>
        <v>4020000</v>
      </c>
    </row>
    <row r="65" ht="15.75" customHeight="1" spans="1:7">
      <c r="A65" s="58">
        <v>17</v>
      </c>
      <c r="B65" s="58" t="s">
        <v>64</v>
      </c>
      <c r="C65" s="47" t="s">
        <v>48</v>
      </c>
      <c r="D65" s="58">
        <v>109</v>
      </c>
      <c r="E65" s="49">
        <v>8000</v>
      </c>
      <c r="F65" s="49">
        <f t="shared" si="1"/>
        <v>872000</v>
      </c>
    </row>
    <row r="66" ht="15.75" customHeight="1" spans="1:7">
      <c r="A66" s="58"/>
      <c r="B66" s="58"/>
      <c r="C66" s="50" t="s">
        <v>49</v>
      </c>
      <c r="D66" s="58">
        <v>126</v>
      </c>
      <c r="E66" s="49">
        <v>10000</v>
      </c>
      <c r="F66" s="49">
        <f t="shared" si="1"/>
        <v>1260000</v>
      </c>
    </row>
    <row r="67" ht="15.75" customHeight="1" spans="1:7">
      <c r="A67" s="58">
        <v>18</v>
      </c>
      <c r="B67" s="58" t="s">
        <v>65</v>
      </c>
      <c r="C67" s="47" t="s">
        <v>48</v>
      </c>
      <c r="D67" s="58">
        <v>42</v>
      </c>
      <c r="E67" s="49">
        <v>8000</v>
      </c>
      <c r="F67" s="49">
        <f t="shared" si="1"/>
        <v>336000</v>
      </c>
    </row>
    <row r="68" ht="15.75" customHeight="1" spans="1:7">
      <c r="A68" s="58"/>
      <c r="B68" s="58"/>
      <c r="C68" s="50" t="s">
        <v>49</v>
      </c>
      <c r="D68" s="58">
        <v>9</v>
      </c>
      <c r="E68" s="49">
        <v>10000</v>
      </c>
      <c r="F68" s="49">
        <f t="shared" si="1"/>
        <v>90000</v>
      </c>
    </row>
    <row r="69" ht="15.75" customHeight="1" spans="1:7">
      <c r="A69" s="58">
        <v>19</v>
      </c>
      <c r="B69" s="58" t="s">
        <v>66</v>
      </c>
      <c r="C69" s="47" t="s">
        <v>48</v>
      </c>
      <c r="D69" s="58">
        <v>22</v>
      </c>
      <c r="E69" s="49">
        <v>8000</v>
      </c>
      <c r="F69" s="49">
        <f t="shared" si="1"/>
        <v>176000</v>
      </c>
    </row>
    <row r="70" ht="15.75" customHeight="1" spans="1:7">
      <c r="A70" s="58"/>
      <c r="B70" s="58"/>
      <c r="C70" s="50" t="s">
        <v>49</v>
      </c>
      <c r="D70" s="58">
        <v>7</v>
      </c>
      <c r="E70" s="49">
        <v>10000</v>
      </c>
      <c r="F70" s="49">
        <f t="shared" si="1"/>
        <v>70000</v>
      </c>
    </row>
    <row r="71" ht="15.75" customHeight="1" spans="1:7">
      <c r="A71" s="58">
        <v>20</v>
      </c>
      <c r="B71" s="58" t="s">
        <v>67</v>
      </c>
      <c r="C71" s="47" t="s">
        <v>48</v>
      </c>
      <c r="D71" s="58">
        <v>52</v>
      </c>
      <c r="E71" s="49">
        <v>8000</v>
      </c>
      <c r="F71" s="49">
        <f t="shared" si="1"/>
        <v>416000</v>
      </c>
    </row>
    <row r="72" ht="15.75" customHeight="1" spans="1:7">
      <c r="A72" s="58"/>
      <c r="B72" s="58"/>
      <c r="C72" s="50" t="s">
        <v>49</v>
      </c>
      <c r="D72" s="58">
        <v>8</v>
      </c>
      <c r="E72" s="49">
        <v>10000</v>
      </c>
      <c r="F72" s="49">
        <f t="shared" si="1"/>
        <v>80000</v>
      </c>
    </row>
    <row r="73" ht="15.75" customHeight="1" spans="1:7">
      <c r="A73" s="62">
        <v>20</v>
      </c>
      <c r="B73" s="62" t="s">
        <v>68</v>
      </c>
      <c r="C73" s="47" t="s">
        <v>48</v>
      </c>
      <c r="D73" s="62">
        <v>43</v>
      </c>
      <c r="E73" s="49">
        <v>8000</v>
      </c>
      <c r="F73" s="49">
        <f t="shared" ref="F73:F74" si="2">E73*D73</f>
        <v>344000</v>
      </c>
    </row>
    <row r="74" ht="15.75" customHeight="1" spans="1:7">
      <c r="A74" s="62"/>
      <c r="B74" s="62"/>
      <c r="C74" s="50" t="s">
        <v>49</v>
      </c>
      <c r="D74" s="62">
        <v>3</v>
      </c>
      <c r="E74" s="49">
        <v>10000</v>
      </c>
      <c r="F74" s="49">
        <f t="shared" si="2"/>
        <v>30000</v>
      </c>
    </row>
    <row r="75" ht="15.75" customHeight="1" spans="1:7">
      <c r="A75" s="5"/>
      <c r="B75" s="5" t="s">
        <v>69</v>
      </c>
      <c r="C75" s="63" t="s">
        <v>70</v>
      </c>
      <c r="D75" s="5">
        <v>70</v>
      </c>
      <c r="E75" s="64">
        <v>8000</v>
      </c>
      <c r="F75" s="64">
        <f>SUM(D75*E75)</f>
        <v>560000</v>
      </c>
      <c r="G75" s="65" t="s">
        <v>71</v>
      </c>
    </row>
    <row r="76" ht="15.75" customHeight="1" spans="1:7">
      <c r="A76" s="5"/>
      <c r="B76" s="5"/>
      <c r="C76" s="63" t="s">
        <v>72</v>
      </c>
      <c r="D76" s="5">
        <v>54</v>
      </c>
      <c r="E76" s="64">
        <v>10000</v>
      </c>
      <c r="F76" s="64">
        <f t="shared" ref="F76:F82" si="3">SUM(D76*E76)</f>
        <v>540000</v>
      </c>
      <c r="G76" s="65"/>
    </row>
    <row r="77" ht="15.75" customHeight="1" spans="1:7">
      <c r="A77" s="5"/>
      <c r="B77" s="5" t="s">
        <v>73</v>
      </c>
      <c r="C77" s="63" t="s">
        <v>74</v>
      </c>
      <c r="D77" s="5">
        <v>32</v>
      </c>
      <c r="E77" s="64">
        <v>8000</v>
      </c>
      <c r="F77" s="64">
        <f t="shared" si="3"/>
        <v>256000</v>
      </c>
      <c r="G77" s="65"/>
    </row>
    <row r="78" ht="15.75" customHeight="1" spans="1:7">
      <c r="A78" s="5"/>
      <c r="B78" s="5"/>
      <c r="C78" s="63" t="s">
        <v>72</v>
      </c>
      <c r="D78" s="5">
        <v>31</v>
      </c>
      <c r="E78" s="64">
        <v>10000</v>
      </c>
      <c r="F78" s="64">
        <f t="shared" si="3"/>
        <v>310000</v>
      </c>
      <c r="G78" s="65"/>
    </row>
    <row r="79" ht="15.75" customHeight="1" spans="1:7">
      <c r="A79" s="5"/>
      <c r="B79" s="5" t="s">
        <v>75</v>
      </c>
      <c r="C79" s="63" t="s">
        <v>74</v>
      </c>
      <c r="D79" s="5">
        <v>59</v>
      </c>
      <c r="E79" s="64">
        <v>8000</v>
      </c>
      <c r="F79" s="64">
        <f t="shared" si="3"/>
        <v>472000</v>
      </c>
      <c r="G79" s="65"/>
    </row>
    <row r="80" ht="15.75" customHeight="1" spans="1:7">
      <c r="A80" s="5"/>
      <c r="B80" s="5"/>
      <c r="C80" s="63" t="s">
        <v>72</v>
      </c>
      <c r="D80" s="5">
        <v>30</v>
      </c>
      <c r="E80" s="64">
        <v>10000</v>
      </c>
      <c r="F80" s="64">
        <f t="shared" si="3"/>
        <v>300000</v>
      </c>
      <c r="G80" s="65"/>
    </row>
    <row r="81" ht="15.75" customHeight="1" spans="1:7">
      <c r="A81" s="5"/>
      <c r="B81" s="5" t="s">
        <v>76</v>
      </c>
      <c r="C81" s="63" t="s">
        <v>74</v>
      </c>
      <c r="D81" s="5">
        <v>48</v>
      </c>
      <c r="E81" s="64">
        <v>8000</v>
      </c>
      <c r="F81" s="64">
        <f t="shared" si="3"/>
        <v>384000</v>
      </c>
      <c r="G81" s="65"/>
    </row>
    <row r="82" ht="15.75" customHeight="1" spans="1:7">
      <c r="A82" s="5"/>
      <c r="B82" s="5"/>
      <c r="C82" s="63" t="s">
        <v>72</v>
      </c>
      <c r="D82" s="5">
        <v>38</v>
      </c>
      <c r="E82" s="64">
        <v>10000</v>
      </c>
      <c r="F82" s="64">
        <f t="shared" si="3"/>
        <v>380000</v>
      </c>
      <c r="G82" s="66"/>
    </row>
    <row r="83" ht="15.75" customHeight="1" spans="1:7">
      <c r="A83" s="62"/>
      <c r="B83" s="62"/>
      <c r="C83" s="67"/>
      <c r="D83" s="62"/>
      <c r="E83" s="68"/>
      <c r="F83" s="68"/>
    </row>
    <row r="84" ht="15.75" customHeight="1" spans="1:7">
      <c r="A84" s="62"/>
      <c r="B84" s="62"/>
      <c r="C84" s="67"/>
      <c r="D84" s="62"/>
      <c r="E84" s="68"/>
      <c r="F84" s="68"/>
    </row>
    <row r="85" ht="15.75" customHeight="1" spans="1:7">
      <c r="A85" s="62"/>
      <c r="B85" s="62"/>
      <c r="C85" s="67"/>
      <c r="D85" s="62">
        <f>SUM(D35:D82)</f>
        <v>2839</v>
      </c>
      <c r="E85" s="68"/>
      <c r="F85" s="69">
        <f>SUM(F35:F82)</f>
        <v>25274000</v>
      </c>
    </row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</sheetData>
  <mergeCells count="9">
    <mergeCell ref="A2:G2"/>
    <mergeCell ref="A3:G3"/>
    <mergeCell ref="A4:G4"/>
    <mergeCell ref="A5:G5"/>
    <mergeCell ref="A6:G6"/>
    <mergeCell ref="A29:E29"/>
    <mergeCell ref="A30:E30"/>
    <mergeCell ref="A31:E31"/>
    <mergeCell ref="G75:G81"/>
  </mergeCells>
  <pageMargins left="0.708661417322835" right="0.708661417322835" top="0.748031496062992" bottom="0.748031496062992" header="0" footer="0"/>
  <pageSetup paperSize="9" orientation="landscape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G1002"/>
  <sheetViews>
    <sheetView topLeftCell="A12" workbookViewId="0">
      <selection activeCell="E13" sqref="E13"/>
    </sheetView>
  </sheetViews>
  <sheetFormatPr defaultColWidth="14.5" defaultRowHeight="16.8" outlineLevelCol="6"/>
  <cols>
    <col min="1" max="1" width="5.6640625" customWidth="1"/>
    <col min="2" max="2" width="22.6640625" customWidth="1"/>
    <col min="3" max="3" width="15.5" customWidth="1"/>
    <col min="4" max="4" width="21" customWidth="1"/>
    <col min="5" max="5" width="18.8359375" customWidth="1"/>
    <col min="6" max="6" width="18.5" customWidth="1"/>
    <col min="7" max="7" width="28.8359375" customWidth="1"/>
    <col min="8" max="8" width="8.6640625" customWidth="1"/>
    <col min="9" max="9" width="4" customWidth="1"/>
    <col min="10" max="10" width="26.8359375" customWidth="1"/>
    <col min="11" max="11" width="3.5" customWidth="1"/>
    <col min="12" max="12" width="12.1640625" customWidth="1"/>
    <col min="13" max="13" width="13.8359375" customWidth="1"/>
    <col min="14" max="25" width="8.6640625" customWidth="1"/>
  </cols>
  <sheetData>
    <row r="2" ht="20.4" spans="1:7">
      <c r="A2" s="8" t="s">
        <v>0</v>
      </c>
      <c r="B2" s="9"/>
      <c r="C2" s="9"/>
      <c r="D2" s="9"/>
      <c r="E2" s="9"/>
      <c r="F2" s="9"/>
      <c r="G2" s="9"/>
    </row>
    <row r="3" ht="17.6" spans="1:7">
      <c r="A3" s="10" t="s">
        <v>1</v>
      </c>
      <c r="B3" s="9"/>
      <c r="C3" s="9"/>
      <c r="D3" s="9"/>
      <c r="E3" s="9"/>
      <c r="F3" s="9"/>
      <c r="G3" s="9"/>
    </row>
    <row r="4" ht="17.6" spans="1:7">
      <c r="A4" s="10" t="s">
        <v>2</v>
      </c>
      <c r="B4" s="9"/>
      <c r="C4" s="9"/>
      <c r="D4" s="9"/>
      <c r="E4" s="9"/>
      <c r="F4" s="9"/>
      <c r="G4" s="9"/>
    </row>
    <row r="5" ht="15.5" customHeight="1" spans="1:7">
      <c r="A5" s="11" t="s">
        <v>77</v>
      </c>
      <c r="B5" s="11"/>
      <c r="C5" s="11"/>
      <c r="D5" s="11"/>
      <c r="E5" s="11"/>
      <c r="F5" s="11"/>
      <c r="G5" s="11"/>
    </row>
    <row r="6" ht="31.25" customHeight="1" spans="1:7">
      <c r="A6" s="12" t="s">
        <v>78</v>
      </c>
      <c r="B6" s="13"/>
      <c r="C6" s="13"/>
      <c r="D6" s="13"/>
      <c r="E6" s="13"/>
      <c r="F6" s="13"/>
      <c r="G6" s="13"/>
    </row>
    <row r="7" spans="1:7">
      <c r="A7" s="14" t="s">
        <v>5</v>
      </c>
      <c r="B7" s="14" t="s">
        <v>6</v>
      </c>
      <c r="C7" s="14" t="s">
        <v>7</v>
      </c>
      <c r="D7" s="14" t="s">
        <v>8</v>
      </c>
      <c r="E7" s="14" t="s">
        <v>9</v>
      </c>
      <c r="F7" s="14" t="s">
        <v>10</v>
      </c>
      <c r="G7" s="14" t="s">
        <v>11</v>
      </c>
    </row>
    <row r="8" ht="15.75" customHeight="1" spans="1:7">
      <c r="A8" s="15">
        <v>1</v>
      </c>
      <c r="B8" s="16" t="s">
        <v>12</v>
      </c>
      <c r="C8" s="17">
        <v>206</v>
      </c>
      <c r="D8" s="16" t="s">
        <v>13</v>
      </c>
      <c r="E8" s="18">
        <v>15000</v>
      </c>
      <c r="F8" s="19">
        <f>SUM(C8*E8)</f>
        <v>3090000</v>
      </c>
      <c r="G8" s="16"/>
    </row>
    <row r="9" ht="15.75" customHeight="1" spans="1:7">
      <c r="A9" s="15">
        <v>2</v>
      </c>
      <c r="B9" s="16" t="s">
        <v>79</v>
      </c>
      <c r="C9" s="17">
        <v>224</v>
      </c>
      <c r="D9" s="16" t="s">
        <v>13</v>
      </c>
      <c r="E9" s="18">
        <v>27000</v>
      </c>
      <c r="F9" s="19">
        <f t="shared" ref="F9:F27" si="0">SUM(C9*E9)</f>
        <v>6048000</v>
      </c>
      <c r="G9" s="16"/>
    </row>
    <row r="10" ht="15.75" customHeight="1" spans="1:7">
      <c r="A10" s="15">
        <v>3</v>
      </c>
      <c r="B10" s="16" t="s">
        <v>80</v>
      </c>
      <c r="C10" s="17">
        <v>2839</v>
      </c>
      <c r="D10" s="16" t="s">
        <v>32</v>
      </c>
      <c r="E10" s="18">
        <v>600</v>
      </c>
      <c r="F10" s="19">
        <f t="shared" si="0"/>
        <v>1703400</v>
      </c>
      <c r="G10" s="16"/>
    </row>
    <row r="11" ht="15.75" customHeight="1" spans="1:7">
      <c r="A11" s="15">
        <v>4</v>
      </c>
      <c r="B11" s="16" t="s">
        <v>81</v>
      </c>
      <c r="C11" s="17">
        <v>114</v>
      </c>
      <c r="D11" s="16" t="s">
        <v>13</v>
      </c>
      <c r="E11" s="18">
        <v>20000</v>
      </c>
      <c r="F11" s="19">
        <f t="shared" si="0"/>
        <v>2280000</v>
      </c>
      <c r="G11" s="16"/>
    </row>
    <row r="12" ht="15.75" customHeight="1" spans="1:7">
      <c r="A12" s="15">
        <v>5</v>
      </c>
      <c r="B12" s="16" t="s">
        <v>82</v>
      </c>
      <c r="C12" s="17">
        <v>71</v>
      </c>
      <c r="D12" s="16" t="s">
        <v>13</v>
      </c>
      <c r="E12" s="18">
        <v>18000</v>
      </c>
      <c r="F12" s="19">
        <f t="shared" si="0"/>
        <v>1278000</v>
      </c>
      <c r="G12" s="16"/>
    </row>
    <row r="13" ht="15.75" customHeight="1" spans="1:7">
      <c r="A13" s="15">
        <v>6</v>
      </c>
      <c r="B13" s="16" t="s">
        <v>83</v>
      </c>
      <c r="C13" s="71">
        <v>263</v>
      </c>
      <c r="D13" s="16" t="s">
        <v>13</v>
      </c>
      <c r="E13" s="18">
        <v>25000</v>
      </c>
      <c r="F13" s="19">
        <f t="shared" si="0"/>
        <v>6575000</v>
      </c>
      <c r="G13" s="16"/>
    </row>
    <row r="14" ht="15.75" customHeight="1" spans="1:7">
      <c r="A14" s="15">
        <v>8</v>
      </c>
      <c r="B14" s="16" t="s">
        <v>19</v>
      </c>
      <c r="C14" s="71">
        <v>4</v>
      </c>
      <c r="D14" s="16" t="s">
        <v>20</v>
      </c>
      <c r="E14" s="18">
        <v>240000</v>
      </c>
      <c r="F14" s="19">
        <f t="shared" si="0"/>
        <v>960000</v>
      </c>
      <c r="G14" s="16"/>
    </row>
    <row r="15" ht="15.75" customHeight="1" spans="1:7">
      <c r="A15" s="15">
        <v>9</v>
      </c>
      <c r="B15" s="16" t="s">
        <v>84</v>
      </c>
      <c r="C15" s="71">
        <v>7</v>
      </c>
      <c r="D15" s="16" t="s">
        <v>13</v>
      </c>
      <c r="E15" s="18">
        <v>14000</v>
      </c>
      <c r="F15" s="19">
        <f t="shared" si="0"/>
        <v>98000</v>
      </c>
      <c r="G15" s="16"/>
    </row>
    <row r="16" ht="15.75" customHeight="1" spans="1:7">
      <c r="A16" s="15">
        <v>10</v>
      </c>
      <c r="B16" s="16" t="s">
        <v>21</v>
      </c>
      <c r="C16" s="72">
        <v>2</v>
      </c>
      <c r="D16" s="16" t="s">
        <v>13</v>
      </c>
      <c r="E16" s="18">
        <v>42000</v>
      </c>
      <c r="F16" s="19">
        <f t="shared" si="0"/>
        <v>84000</v>
      </c>
      <c r="G16" s="16"/>
    </row>
    <row r="17" ht="15.75" customHeight="1" spans="1:7">
      <c r="A17" s="15">
        <v>11</v>
      </c>
      <c r="B17" s="16" t="s">
        <v>22</v>
      </c>
      <c r="C17" s="72">
        <v>3</v>
      </c>
      <c r="D17" s="16" t="s">
        <v>13</v>
      </c>
      <c r="E17" s="18">
        <v>40000</v>
      </c>
      <c r="F17" s="19">
        <f t="shared" si="0"/>
        <v>120000</v>
      </c>
      <c r="G17" s="16"/>
    </row>
    <row r="18" ht="15.75" customHeight="1" spans="1:7">
      <c r="A18" s="15">
        <v>13</v>
      </c>
      <c r="B18" s="16" t="s">
        <v>85</v>
      </c>
      <c r="C18" s="72">
        <v>2</v>
      </c>
      <c r="D18" s="16" t="s">
        <v>13</v>
      </c>
      <c r="E18" s="18">
        <v>15000</v>
      </c>
      <c r="F18" s="19">
        <f t="shared" si="0"/>
        <v>30000</v>
      </c>
      <c r="G18" s="16"/>
    </row>
    <row r="19" ht="15.75" customHeight="1" spans="1:7">
      <c r="A19" s="15">
        <v>14</v>
      </c>
      <c r="B19" s="16" t="s">
        <v>86</v>
      </c>
      <c r="C19" s="72">
        <v>5</v>
      </c>
      <c r="D19" s="16" t="s">
        <v>13</v>
      </c>
      <c r="E19" s="18">
        <v>15000</v>
      </c>
      <c r="F19" s="19">
        <f t="shared" si="0"/>
        <v>75000</v>
      </c>
      <c r="G19" s="16"/>
    </row>
    <row r="20" ht="15.75" customHeight="1" spans="1:7">
      <c r="A20" s="15">
        <v>15</v>
      </c>
      <c r="B20" s="16" t="s">
        <v>87</v>
      </c>
      <c r="C20" s="72">
        <v>0.5</v>
      </c>
      <c r="D20" s="16" t="s">
        <v>13</v>
      </c>
      <c r="E20" s="18">
        <v>50000</v>
      </c>
      <c r="F20" s="19">
        <f t="shared" si="0"/>
        <v>25000</v>
      </c>
      <c r="G20" s="16"/>
    </row>
    <row r="21" ht="15.75" customHeight="1" spans="1:7">
      <c r="A21" s="15">
        <v>16</v>
      </c>
      <c r="B21" s="16" t="s">
        <v>88</v>
      </c>
      <c r="C21" s="72">
        <v>1</v>
      </c>
      <c r="D21" s="16" t="s">
        <v>89</v>
      </c>
      <c r="E21" s="18">
        <v>12000</v>
      </c>
      <c r="F21" s="19">
        <f t="shared" si="0"/>
        <v>12000</v>
      </c>
      <c r="G21" s="16"/>
    </row>
    <row r="22" ht="15.75" customHeight="1" spans="1:7">
      <c r="A22" s="15">
        <v>17</v>
      </c>
      <c r="B22" s="16" t="s">
        <v>90</v>
      </c>
      <c r="C22" s="72">
        <v>5</v>
      </c>
      <c r="D22" s="16" t="s">
        <v>32</v>
      </c>
      <c r="E22" s="18">
        <v>26000</v>
      </c>
      <c r="F22" s="19">
        <f t="shared" si="0"/>
        <v>130000</v>
      </c>
      <c r="G22" s="16" t="s">
        <v>91</v>
      </c>
    </row>
    <row r="23" ht="15.75" customHeight="1" spans="1:7">
      <c r="A23" s="15">
        <v>18</v>
      </c>
      <c r="B23" s="16" t="s">
        <v>31</v>
      </c>
      <c r="C23" s="72">
        <v>10</v>
      </c>
      <c r="D23" s="16" t="s">
        <v>32</v>
      </c>
      <c r="E23" s="18">
        <v>2000</v>
      </c>
      <c r="F23" s="19">
        <f t="shared" si="0"/>
        <v>20000</v>
      </c>
      <c r="G23" s="16"/>
    </row>
    <row r="24" ht="15.75" customHeight="1" spans="1:7">
      <c r="A24" s="15">
        <v>20</v>
      </c>
      <c r="B24" s="16" t="s">
        <v>34</v>
      </c>
      <c r="C24" s="72">
        <v>6</v>
      </c>
      <c r="D24" s="16" t="s">
        <v>32</v>
      </c>
      <c r="E24" s="18">
        <v>25000</v>
      </c>
      <c r="F24" s="19">
        <f t="shared" si="0"/>
        <v>150000</v>
      </c>
      <c r="G24" s="16"/>
    </row>
    <row r="25" ht="15.75" customHeight="1" spans="1:7">
      <c r="A25" s="15">
        <v>21</v>
      </c>
      <c r="B25" s="16" t="s">
        <v>92</v>
      </c>
      <c r="C25" s="72">
        <v>1</v>
      </c>
      <c r="D25" s="16" t="s">
        <v>89</v>
      </c>
      <c r="E25" s="18">
        <v>12000</v>
      </c>
      <c r="F25" s="19">
        <f t="shared" si="0"/>
        <v>12000</v>
      </c>
      <c r="G25" s="16"/>
    </row>
    <row r="26" ht="15.75" customHeight="1" spans="1:7">
      <c r="A26" s="15">
        <v>22</v>
      </c>
      <c r="B26" s="16" t="s">
        <v>35</v>
      </c>
      <c r="C26" s="72">
        <v>1</v>
      </c>
      <c r="D26" s="16" t="s">
        <v>13</v>
      </c>
      <c r="E26" s="18">
        <v>21000</v>
      </c>
      <c r="F26" s="19">
        <f t="shared" si="0"/>
        <v>21000</v>
      </c>
      <c r="G26" s="16"/>
    </row>
    <row r="27" ht="15.75" customHeight="1" spans="1:7">
      <c r="A27" s="15">
        <v>23</v>
      </c>
      <c r="B27" s="16" t="s">
        <v>36</v>
      </c>
      <c r="C27" s="72">
        <v>1</v>
      </c>
      <c r="D27" s="16" t="s">
        <v>93</v>
      </c>
      <c r="E27" s="18">
        <v>60000</v>
      </c>
      <c r="F27" s="19">
        <f t="shared" si="0"/>
        <v>60000</v>
      </c>
      <c r="G27" s="16"/>
    </row>
    <row r="28" ht="15.75" customHeight="1" spans="1:7">
      <c r="A28" s="39" t="s">
        <v>40</v>
      </c>
      <c r="B28" s="36"/>
      <c r="C28" s="36"/>
      <c r="D28" s="36"/>
      <c r="E28" s="37"/>
      <c r="F28" s="40">
        <f>SUM(F8:F27)</f>
        <v>22771400</v>
      </c>
      <c r="G28" s="34"/>
    </row>
    <row r="29" ht="15.75" customHeight="1" spans="1:7">
      <c r="A29" s="35" t="s">
        <v>41</v>
      </c>
      <c r="B29" s="36"/>
      <c r="C29" s="36"/>
      <c r="D29" s="36"/>
      <c r="E29" s="37"/>
      <c r="F29" s="38">
        <f>SUM(F33:F81)</f>
        <v>25274000</v>
      </c>
      <c r="G29" s="34"/>
    </row>
    <row r="30" ht="15.75" customHeight="1" spans="1:7">
      <c r="A30" s="39" t="s">
        <v>42</v>
      </c>
      <c r="B30" s="36"/>
      <c r="C30" s="36"/>
      <c r="D30" s="36"/>
      <c r="E30" s="37"/>
      <c r="F30" s="40">
        <f>SUM(F29-F28)</f>
        <v>2502600</v>
      </c>
      <c r="G30" s="34"/>
    </row>
    <row r="31" ht="15.75" customHeight="1"/>
    <row r="32" ht="15.75" customHeight="1"/>
    <row r="33" ht="15.75" customHeight="1" spans="1:7">
      <c r="A33" s="41" t="s">
        <v>5</v>
      </c>
      <c r="B33" s="42" t="s">
        <v>43</v>
      </c>
      <c r="C33" s="43" t="s">
        <v>44</v>
      </c>
      <c r="D33" s="44" t="s">
        <v>45</v>
      </c>
      <c r="E33" s="43" t="s">
        <v>46</v>
      </c>
      <c r="F33" s="43" t="s">
        <v>10</v>
      </c>
    </row>
    <row r="34" ht="15.75" customHeight="1" spans="1:7">
      <c r="A34" s="45">
        <v>1</v>
      </c>
      <c r="B34" s="46" t="s">
        <v>47</v>
      </c>
      <c r="C34" s="47" t="s">
        <v>48</v>
      </c>
      <c r="D34" s="48">
        <v>123</v>
      </c>
      <c r="E34" s="49">
        <v>8000</v>
      </c>
      <c r="F34" s="49">
        <f>E34*D34</f>
        <v>984000</v>
      </c>
    </row>
    <row r="35" ht="15.75" customHeight="1" spans="1:7">
      <c r="A35" s="45"/>
      <c r="B35" s="46"/>
      <c r="C35" s="50" t="s">
        <v>49</v>
      </c>
      <c r="D35" s="48">
        <v>119</v>
      </c>
      <c r="E35" s="49">
        <v>10000</v>
      </c>
      <c r="F35" s="49">
        <f t="shared" ref="F35:F71" si="1">E35*D35</f>
        <v>1190000</v>
      </c>
      <c r="G35" s="51"/>
    </row>
    <row r="36" ht="15.75" customHeight="1" spans="1:7">
      <c r="A36" s="45">
        <v>2</v>
      </c>
      <c r="B36" s="46" t="s">
        <v>50</v>
      </c>
      <c r="C36" s="47" t="s">
        <v>48</v>
      </c>
      <c r="D36" s="47">
        <v>26</v>
      </c>
      <c r="E36" s="49">
        <v>8000</v>
      </c>
      <c r="F36" s="49">
        <f t="shared" si="1"/>
        <v>208000</v>
      </c>
    </row>
    <row r="37" ht="15.75" customHeight="1" spans="1:7">
      <c r="A37" s="45"/>
      <c r="B37" s="46"/>
      <c r="C37" s="50" t="s">
        <v>49</v>
      </c>
      <c r="D37" s="47">
        <v>6</v>
      </c>
      <c r="E37" s="49">
        <v>10000</v>
      </c>
      <c r="F37" s="49">
        <f t="shared" si="1"/>
        <v>60000</v>
      </c>
    </row>
    <row r="38" ht="15.75" customHeight="1" spans="1:7">
      <c r="A38" s="45">
        <v>3</v>
      </c>
      <c r="B38" s="46" t="s">
        <v>51</v>
      </c>
      <c r="C38" s="47" t="s">
        <v>48</v>
      </c>
      <c r="D38" s="47">
        <v>108</v>
      </c>
      <c r="E38" s="49">
        <v>8000</v>
      </c>
      <c r="F38" s="49">
        <f t="shared" si="1"/>
        <v>864000</v>
      </c>
    </row>
    <row r="39" ht="15.75" customHeight="1" spans="1:7">
      <c r="A39" s="45"/>
      <c r="B39" s="46"/>
      <c r="C39" s="50" t="s">
        <v>49</v>
      </c>
      <c r="D39" s="47">
        <v>86</v>
      </c>
      <c r="E39" s="49">
        <v>10000</v>
      </c>
      <c r="F39" s="49">
        <f t="shared" si="1"/>
        <v>860000</v>
      </c>
    </row>
    <row r="40" ht="15.75" customHeight="1" spans="1:7">
      <c r="A40" s="45">
        <v>4</v>
      </c>
      <c r="B40" s="52" t="s">
        <v>52</v>
      </c>
      <c r="C40" s="47" t="s">
        <v>48</v>
      </c>
      <c r="D40" s="47">
        <v>132</v>
      </c>
      <c r="E40" s="49">
        <v>8000</v>
      </c>
      <c r="F40" s="49">
        <f t="shared" si="1"/>
        <v>1056000</v>
      </c>
    </row>
    <row r="41" ht="15.75" customHeight="1" spans="1:7">
      <c r="A41" s="45"/>
      <c r="B41" s="46"/>
      <c r="C41" s="50" t="s">
        <v>49</v>
      </c>
      <c r="D41" s="47">
        <v>147</v>
      </c>
      <c r="E41" s="49">
        <v>10000</v>
      </c>
      <c r="F41" s="49">
        <f t="shared" si="1"/>
        <v>1470000</v>
      </c>
    </row>
    <row r="42" ht="15.75" customHeight="1" spans="1:7">
      <c r="A42" s="45">
        <v>5</v>
      </c>
      <c r="B42" s="46" t="s">
        <v>53</v>
      </c>
      <c r="C42" s="47" t="s">
        <v>48</v>
      </c>
      <c r="D42" s="47">
        <v>75</v>
      </c>
      <c r="E42" s="49">
        <v>8000</v>
      </c>
      <c r="F42" s="49">
        <f t="shared" si="1"/>
        <v>600000</v>
      </c>
    </row>
    <row r="43" ht="15.75" customHeight="1" spans="1:7">
      <c r="A43" s="45"/>
      <c r="B43" s="46"/>
      <c r="C43" s="50" t="s">
        <v>49</v>
      </c>
      <c r="D43" s="47">
        <v>105</v>
      </c>
      <c r="E43" s="49">
        <v>10000</v>
      </c>
      <c r="F43" s="49">
        <f t="shared" si="1"/>
        <v>1050000</v>
      </c>
    </row>
    <row r="44" ht="15.75" customHeight="1" spans="1:7">
      <c r="A44" s="45">
        <v>6</v>
      </c>
      <c r="B44" s="46" t="s">
        <v>54</v>
      </c>
      <c r="C44" s="47" t="s">
        <v>48</v>
      </c>
      <c r="D44" s="47">
        <v>49</v>
      </c>
      <c r="E44" s="49">
        <v>8000</v>
      </c>
      <c r="F44" s="49">
        <f t="shared" si="1"/>
        <v>392000</v>
      </c>
    </row>
    <row r="45" ht="15.75" customHeight="1" spans="1:7">
      <c r="A45" s="53"/>
      <c r="B45" s="54"/>
      <c r="C45" s="50" t="s">
        <v>49</v>
      </c>
      <c r="D45" s="47">
        <v>7</v>
      </c>
      <c r="E45" s="49">
        <v>10000</v>
      </c>
      <c r="F45" s="49">
        <f t="shared" si="1"/>
        <v>70000</v>
      </c>
    </row>
    <row r="46" ht="15.75" customHeight="1" spans="1:7">
      <c r="A46" s="55">
        <v>7</v>
      </c>
      <c r="B46" s="56" t="s">
        <v>55</v>
      </c>
      <c r="C46" s="55" t="s">
        <v>48</v>
      </c>
      <c r="D46" s="55">
        <v>28</v>
      </c>
      <c r="E46" s="57">
        <v>8000</v>
      </c>
      <c r="F46" s="57">
        <f t="shared" si="1"/>
        <v>224000</v>
      </c>
    </row>
    <row r="47" ht="15.75" customHeight="1" spans="1:7">
      <c r="A47" s="55"/>
      <c r="B47" s="56"/>
      <c r="C47" s="55" t="s">
        <v>49</v>
      </c>
      <c r="D47" s="55">
        <v>6</v>
      </c>
      <c r="E47" s="57">
        <v>10000</v>
      </c>
      <c r="F47" s="57">
        <f t="shared" si="1"/>
        <v>60000</v>
      </c>
    </row>
    <row r="48" ht="15.75" customHeight="1" spans="1:7">
      <c r="A48" s="58">
        <v>9</v>
      </c>
      <c r="B48" s="59" t="s">
        <v>56</v>
      </c>
      <c r="C48" s="47" t="s">
        <v>48</v>
      </c>
      <c r="D48" s="47">
        <v>13</v>
      </c>
      <c r="E48" s="49">
        <v>8000</v>
      </c>
      <c r="F48" s="49">
        <f t="shared" si="1"/>
        <v>104000</v>
      </c>
    </row>
    <row r="49" ht="15.75" customHeight="1" spans="1:6">
      <c r="A49" s="58"/>
      <c r="B49" s="59"/>
      <c r="C49" s="50" t="s">
        <v>49</v>
      </c>
      <c r="D49" s="47">
        <v>4</v>
      </c>
      <c r="E49" s="49">
        <v>10000</v>
      </c>
      <c r="F49" s="49">
        <f t="shared" si="1"/>
        <v>40000</v>
      </c>
    </row>
    <row r="50" ht="15.75" customHeight="1" spans="1:6">
      <c r="A50" s="58">
        <v>10</v>
      </c>
      <c r="B50" s="59" t="s">
        <v>57</v>
      </c>
      <c r="C50" s="47" t="s">
        <v>48</v>
      </c>
      <c r="D50" s="47">
        <v>40</v>
      </c>
      <c r="E50" s="49">
        <v>8000</v>
      </c>
      <c r="F50" s="49">
        <f t="shared" si="1"/>
        <v>320000</v>
      </c>
    </row>
    <row r="51" ht="15.75" customHeight="1" spans="1:6">
      <c r="A51" s="58"/>
      <c r="B51" s="59"/>
      <c r="C51" s="50" t="s">
        <v>49</v>
      </c>
      <c r="D51" s="47">
        <v>10</v>
      </c>
      <c r="E51" s="49">
        <v>10000</v>
      </c>
      <c r="F51" s="49">
        <f t="shared" si="1"/>
        <v>100000</v>
      </c>
    </row>
    <row r="52" ht="15.75" customHeight="1" spans="1:6">
      <c r="A52" s="58">
        <v>11</v>
      </c>
      <c r="B52" s="59" t="s">
        <v>58</v>
      </c>
      <c r="C52" s="47" t="s">
        <v>48</v>
      </c>
      <c r="D52" s="47">
        <v>79</v>
      </c>
      <c r="E52" s="49">
        <v>8000</v>
      </c>
      <c r="F52" s="49">
        <f t="shared" si="1"/>
        <v>632000</v>
      </c>
    </row>
    <row r="53" ht="15.75" customHeight="1" spans="1:6">
      <c r="A53" s="58"/>
      <c r="B53" s="59"/>
      <c r="C53" s="50" t="s">
        <v>49</v>
      </c>
      <c r="D53" s="47">
        <v>14</v>
      </c>
      <c r="E53" s="49">
        <v>10000</v>
      </c>
      <c r="F53" s="49">
        <f t="shared" si="1"/>
        <v>140000</v>
      </c>
    </row>
    <row r="54" ht="15.75" customHeight="1" spans="1:6">
      <c r="A54" s="58">
        <v>12</v>
      </c>
      <c r="B54" s="59" t="s">
        <v>59</v>
      </c>
      <c r="C54" s="47" t="s">
        <v>48</v>
      </c>
      <c r="D54" s="47">
        <v>42</v>
      </c>
      <c r="E54" s="49">
        <v>8000</v>
      </c>
      <c r="F54" s="49">
        <f t="shared" si="1"/>
        <v>336000</v>
      </c>
    </row>
    <row r="55" ht="15.75" customHeight="1" spans="1:6">
      <c r="A55" s="58"/>
      <c r="B55" s="59"/>
      <c r="C55" s="50" t="s">
        <v>49</v>
      </c>
      <c r="D55" s="47">
        <v>7</v>
      </c>
      <c r="E55" s="49">
        <v>10000</v>
      </c>
      <c r="F55" s="49">
        <f t="shared" si="1"/>
        <v>70000</v>
      </c>
    </row>
    <row r="56" ht="15.75" customHeight="1" spans="1:6">
      <c r="A56" s="60">
        <v>13</v>
      </c>
      <c r="B56" s="61" t="s">
        <v>60</v>
      </c>
      <c r="C56" s="55" t="s">
        <v>48</v>
      </c>
      <c r="D56" s="55">
        <v>23</v>
      </c>
      <c r="E56" s="57">
        <v>8000</v>
      </c>
      <c r="F56" s="57">
        <f t="shared" si="1"/>
        <v>184000</v>
      </c>
    </row>
    <row r="57" ht="15.75" customHeight="1" spans="1:6">
      <c r="A57" s="60"/>
      <c r="B57" s="61"/>
      <c r="C57" s="55" t="s">
        <v>49</v>
      </c>
      <c r="D57" s="55">
        <v>3</v>
      </c>
      <c r="E57" s="57">
        <v>10000</v>
      </c>
      <c r="F57" s="57">
        <f t="shared" si="1"/>
        <v>30000</v>
      </c>
    </row>
    <row r="58" ht="15.75" customHeight="1" spans="1:6">
      <c r="A58" s="58">
        <v>14</v>
      </c>
      <c r="B58" s="59" t="s">
        <v>61</v>
      </c>
      <c r="C58" s="47" t="s">
        <v>48</v>
      </c>
      <c r="D58" s="47">
        <v>16</v>
      </c>
      <c r="E58" s="49">
        <v>8000</v>
      </c>
      <c r="F58" s="49">
        <f t="shared" si="1"/>
        <v>128000</v>
      </c>
    </row>
    <row r="59" ht="15.75" customHeight="1" spans="1:6">
      <c r="A59" s="58"/>
      <c r="B59" s="59"/>
      <c r="C59" s="50" t="s">
        <v>49</v>
      </c>
      <c r="D59" s="47">
        <v>4</v>
      </c>
      <c r="E59" s="49">
        <v>10000</v>
      </c>
      <c r="F59" s="49">
        <f t="shared" si="1"/>
        <v>40000</v>
      </c>
    </row>
    <row r="60" ht="15.75" customHeight="1" spans="1:6">
      <c r="A60" s="58">
        <v>15</v>
      </c>
      <c r="B60" s="59" t="s">
        <v>62</v>
      </c>
      <c r="C60" s="47" t="s">
        <v>48</v>
      </c>
      <c r="D60" s="58"/>
      <c r="E60" s="49">
        <v>8000</v>
      </c>
      <c r="F60" s="49">
        <f t="shared" si="1"/>
        <v>0</v>
      </c>
    </row>
    <row r="61" ht="15.75" customHeight="1" spans="1:6">
      <c r="A61" s="58"/>
      <c r="B61" s="59"/>
      <c r="C61" s="50" t="s">
        <v>49</v>
      </c>
      <c r="D61" s="58">
        <v>55</v>
      </c>
      <c r="E61" s="49">
        <v>10000</v>
      </c>
      <c r="F61" s="49">
        <f t="shared" si="1"/>
        <v>550000</v>
      </c>
    </row>
    <row r="62" ht="15.75" customHeight="1" spans="1:6">
      <c r="A62" s="58">
        <v>16</v>
      </c>
      <c r="B62" s="58" t="s">
        <v>63</v>
      </c>
      <c r="C62" s="47" t="s">
        <v>48</v>
      </c>
      <c r="D62" s="58">
        <v>327</v>
      </c>
      <c r="E62" s="49">
        <v>8000</v>
      </c>
      <c r="F62" s="49">
        <f t="shared" si="1"/>
        <v>2616000</v>
      </c>
    </row>
    <row r="63" ht="15.75" customHeight="1" spans="1:6">
      <c r="A63" s="58"/>
      <c r="B63" s="58"/>
      <c r="C63" s="50" t="s">
        <v>49</v>
      </c>
      <c r="D63" s="58">
        <v>402</v>
      </c>
      <c r="E63" s="49">
        <v>10000</v>
      </c>
      <c r="F63" s="49">
        <f t="shared" si="1"/>
        <v>4020000</v>
      </c>
    </row>
    <row r="64" ht="15.75" customHeight="1" spans="1:6">
      <c r="A64" s="58">
        <v>17</v>
      </c>
      <c r="B64" s="58" t="s">
        <v>64</v>
      </c>
      <c r="C64" s="47" t="s">
        <v>48</v>
      </c>
      <c r="D64" s="58">
        <v>109</v>
      </c>
      <c r="E64" s="49">
        <v>8000</v>
      </c>
      <c r="F64" s="49">
        <f t="shared" si="1"/>
        <v>872000</v>
      </c>
    </row>
    <row r="65" ht="15.75" customHeight="1" spans="1:7">
      <c r="A65" s="58"/>
      <c r="B65" s="58"/>
      <c r="C65" s="50" t="s">
        <v>49</v>
      </c>
      <c r="D65" s="58">
        <v>126</v>
      </c>
      <c r="E65" s="49">
        <v>10000</v>
      </c>
      <c r="F65" s="49">
        <f t="shared" si="1"/>
        <v>1260000</v>
      </c>
    </row>
    <row r="66" ht="15.75" customHeight="1" spans="1:7">
      <c r="A66" s="58">
        <v>18</v>
      </c>
      <c r="B66" s="58" t="s">
        <v>65</v>
      </c>
      <c r="C66" s="47" t="s">
        <v>48</v>
      </c>
      <c r="D66" s="58">
        <v>42</v>
      </c>
      <c r="E66" s="49">
        <v>8000</v>
      </c>
      <c r="F66" s="49">
        <f t="shared" si="1"/>
        <v>336000</v>
      </c>
    </row>
    <row r="67" ht="15.75" customHeight="1" spans="1:7">
      <c r="A67" s="58"/>
      <c r="B67" s="58"/>
      <c r="C67" s="50" t="s">
        <v>49</v>
      </c>
      <c r="D67" s="58">
        <v>9</v>
      </c>
      <c r="E67" s="49">
        <v>10000</v>
      </c>
      <c r="F67" s="49">
        <f t="shared" si="1"/>
        <v>90000</v>
      </c>
    </row>
    <row r="68" ht="15.75" customHeight="1" spans="1:7">
      <c r="A68" s="58">
        <v>19</v>
      </c>
      <c r="B68" s="58" t="s">
        <v>66</v>
      </c>
      <c r="C68" s="47" t="s">
        <v>48</v>
      </c>
      <c r="D68" s="58">
        <v>22</v>
      </c>
      <c r="E68" s="49">
        <v>8000</v>
      </c>
      <c r="F68" s="49">
        <f t="shared" si="1"/>
        <v>176000</v>
      </c>
    </row>
    <row r="69" ht="15.75" customHeight="1" spans="1:7">
      <c r="A69" s="58"/>
      <c r="B69" s="58"/>
      <c r="C69" s="50" t="s">
        <v>49</v>
      </c>
      <c r="D69" s="58">
        <v>7</v>
      </c>
      <c r="E69" s="49">
        <v>10000</v>
      </c>
      <c r="F69" s="49">
        <f t="shared" si="1"/>
        <v>70000</v>
      </c>
    </row>
    <row r="70" ht="15.75" customHeight="1" spans="1:7">
      <c r="A70" s="58">
        <v>20</v>
      </c>
      <c r="B70" s="58" t="s">
        <v>67</v>
      </c>
      <c r="C70" s="47" t="s">
        <v>48</v>
      </c>
      <c r="D70" s="58">
        <v>52</v>
      </c>
      <c r="E70" s="49">
        <v>8000</v>
      </c>
      <c r="F70" s="49">
        <f t="shared" si="1"/>
        <v>416000</v>
      </c>
    </row>
    <row r="71" ht="15.75" customHeight="1" spans="1:7">
      <c r="A71" s="58"/>
      <c r="B71" s="58"/>
      <c r="C71" s="50" t="s">
        <v>49</v>
      </c>
      <c r="D71" s="58">
        <v>8</v>
      </c>
      <c r="E71" s="49">
        <v>10000</v>
      </c>
      <c r="F71" s="49">
        <f t="shared" si="1"/>
        <v>80000</v>
      </c>
    </row>
    <row r="72" ht="15.75" customHeight="1" spans="1:7">
      <c r="A72" s="62">
        <v>20</v>
      </c>
      <c r="B72" s="62" t="s">
        <v>68</v>
      </c>
      <c r="C72" s="47" t="s">
        <v>48</v>
      </c>
      <c r="D72" s="62">
        <v>43</v>
      </c>
      <c r="E72" s="49">
        <v>8000</v>
      </c>
      <c r="F72" s="49">
        <f t="shared" ref="F72:F73" si="2">E72*D72</f>
        <v>344000</v>
      </c>
    </row>
    <row r="73" ht="15.75" customHeight="1" spans="1:7">
      <c r="A73" s="62"/>
      <c r="B73" s="62"/>
      <c r="C73" s="50" t="s">
        <v>49</v>
      </c>
      <c r="D73" s="62">
        <v>3</v>
      </c>
      <c r="E73" s="49">
        <v>10000</v>
      </c>
      <c r="F73" s="49">
        <f t="shared" si="2"/>
        <v>30000</v>
      </c>
    </row>
    <row r="74" ht="15.75" customHeight="1" spans="1:7">
      <c r="A74" s="5"/>
      <c r="B74" s="5" t="s">
        <v>69</v>
      </c>
      <c r="C74" s="63" t="s">
        <v>70</v>
      </c>
      <c r="D74" s="5">
        <v>70</v>
      </c>
      <c r="E74" s="64">
        <v>8000</v>
      </c>
      <c r="F74" s="64">
        <f>SUM(D74*E74)</f>
        <v>560000</v>
      </c>
      <c r="G74" s="65" t="s">
        <v>71</v>
      </c>
    </row>
    <row r="75" ht="15.75" customHeight="1" spans="1:7">
      <c r="A75" s="5"/>
      <c r="B75" s="5"/>
      <c r="C75" s="63" t="s">
        <v>72</v>
      </c>
      <c r="D75" s="5">
        <v>54</v>
      </c>
      <c r="E75" s="64">
        <v>10000</v>
      </c>
      <c r="F75" s="64">
        <f t="shared" ref="F75:F81" si="3">SUM(D75*E75)</f>
        <v>540000</v>
      </c>
      <c r="G75" s="65"/>
    </row>
    <row r="76" ht="15.75" customHeight="1" spans="1:7">
      <c r="A76" s="5"/>
      <c r="B76" s="5" t="s">
        <v>73</v>
      </c>
      <c r="C76" s="63" t="s">
        <v>74</v>
      </c>
      <c r="D76" s="5">
        <v>32</v>
      </c>
      <c r="E76" s="64">
        <v>8000</v>
      </c>
      <c r="F76" s="64">
        <f t="shared" si="3"/>
        <v>256000</v>
      </c>
      <c r="G76" s="65"/>
    </row>
    <row r="77" ht="15.75" customHeight="1" spans="1:7">
      <c r="A77" s="5"/>
      <c r="B77" s="5"/>
      <c r="C77" s="63" t="s">
        <v>72</v>
      </c>
      <c r="D77" s="5">
        <v>31</v>
      </c>
      <c r="E77" s="64">
        <v>10000</v>
      </c>
      <c r="F77" s="64">
        <f t="shared" si="3"/>
        <v>310000</v>
      </c>
      <c r="G77" s="65"/>
    </row>
    <row r="78" ht="15.75" customHeight="1" spans="1:7">
      <c r="A78" s="5"/>
      <c r="B78" s="5" t="s">
        <v>75</v>
      </c>
      <c r="C78" s="63" t="s">
        <v>74</v>
      </c>
      <c r="D78" s="5">
        <v>59</v>
      </c>
      <c r="E78" s="64">
        <v>8000</v>
      </c>
      <c r="F78" s="64">
        <f t="shared" si="3"/>
        <v>472000</v>
      </c>
      <c r="G78" s="65"/>
    </row>
    <row r="79" ht="15.75" customHeight="1" spans="1:7">
      <c r="A79" s="5"/>
      <c r="B79" s="5"/>
      <c r="C79" s="63" t="s">
        <v>72</v>
      </c>
      <c r="D79" s="5">
        <v>30</v>
      </c>
      <c r="E79" s="64">
        <v>10000</v>
      </c>
      <c r="F79" s="64">
        <f t="shared" si="3"/>
        <v>300000</v>
      </c>
      <c r="G79" s="65"/>
    </row>
    <row r="80" ht="15.75" customHeight="1" spans="1:7">
      <c r="A80" s="5"/>
      <c r="B80" s="5" t="s">
        <v>76</v>
      </c>
      <c r="C80" s="63" t="s">
        <v>74</v>
      </c>
      <c r="D80" s="5">
        <v>48</v>
      </c>
      <c r="E80" s="64">
        <v>8000</v>
      </c>
      <c r="F80" s="64">
        <f t="shared" si="3"/>
        <v>384000</v>
      </c>
      <c r="G80" s="65"/>
    </row>
    <row r="81" ht="15.75" customHeight="1" spans="1:7">
      <c r="A81" s="5"/>
      <c r="B81" s="5"/>
      <c r="C81" s="63" t="s">
        <v>72</v>
      </c>
      <c r="D81" s="5">
        <v>38</v>
      </c>
      <c r="E81" s="64">
        <v>10000</v>
      </c>
      <c r="F81" s="64">
        <f t="shared" si="3"/>
        <v>380000</v>
      </c>
      <c r="G81" s="66"/>
    </row>
    <row r="82" ht="15.75" customHeight="1" spans="1:7">
      <c r="A82" s="62"/>
      <c r="B82" s="62"/>
      <c r="C82" s="67"/>
      <c r="D82" s="62"/>
      <c r="E82" s="68"/>
      <c r="F82" s="68"/>
    </row>
    <row r="83" ht="15.75" customHeight="1" spans="1:7">
      <c r="A83" s="62"/>
      <c r="B83" s="62"/>
      <c r="C83" s="67"/>
      <c r="D83" s="62"/>
      <c r="E83" s="68"/>
      <c r="F83" s="68"/>
    </row>
    <row r="84" ht="15.75" customHeight="1" spans="1:7">
      <c r="A84" s="62"/>
      <c r="B84" s="62"/>
      <c r="C84" s="67"/>
      <c r="D84" s="62">
        <f>SUM(D34:D81)</f>
        <v>2839</v>
      </c>
      <c r="E84" s="68"/>
      <c r="F84" s="69">
        <f>SUM(F34:F81)</f>
        <v>25274000</v>
      </c>
    </row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9">
    <mergeCell ref="A2:G2"/>
    <mergeCell ref="A3:G3"/>
    <mergeCell ref="A4:G4"/>
    <mergeCell ref="A5:G5"/>
    <mergeCell ref="A6:G6"/>
    <mergeCell ref="A28:E28"/>
    <mergeCell ref="A29:E29"/>
    <mergeCell ref="A30:E30"/>
    <mergeCell ref="G74:G80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G1007"/>
  <sheetViews>
    <sheetView topLeftCell="A6" workbookViewId="0">
      <selection activeCell="E14" sqref="E14"/>
    </sheetView>
  </sheetViews>
  <sheetFormatPr defaultColWidth="14.5" defaultRowHeight="16.8" outlineLevelCol="6"/>
  <cols>
    <col min="1" max="1" width="5.6640625" customWidth="1"/>
    <col min="2" max="2" width="24.1640625" customWidth="1"/>
    <col min="3" max="3" width="15.5" customWidth="1"/>
    <col min="4" max="4" width="21" customWidth="1"/>
    <col min="5" max="5" width="18.8359375" customWidth="1"/>
    <col min="6" max="6" width="18.5" customWidth="1"/>
    <col min="7" max="7" width="22.5" customWidth="1"/>
    <col min="8" max="8" width="8.6640625" customWidth="1"/>
    <col min="9" max="9" width="4" customWidth="1"/>
    <col min="10" max="10" width="26.8359375" customWidth="1"/>
    <col min="11" max="11" width="3.5" customWidth="1"/>
    <col min="12" max="12" width="12.1640625" customWidth="1"/>
    <col min="13" max="13" width="13.8359375" customWidth="1"/>
    <col min="14" max="25" width="8.6640625" customWidth="1"/>
  </cols>
  <sheetData>
    <row r="2" ht="20.4" spans="1:7">
      <c r="A2" s="8" t="s">
        <v>0</v>
      </c>
      <c r="B2" s="9"/>
      <c r="C2" s="9"/>
      <c r="D2" s="9"/>
      <c r="E2" s="9"/>
      <c r="F2" s="9"/>
      <c r="G2" s="9"/>
    </row>
    <row r="3" ht="17.6" spans="1:7">
      <c r="A3" s="10" t="s">
        <v>1</v>
      </c>
      <c r="B3" s="9"/>
      <c r="C3" s="9"/>
      <c r="D3" s="9"/>
      <c r="E3" s="9"/>
      <c r="F3" s="9"/>
      <c r="G3" s="9"/>
    </row>
    <row r="4" ht="17.6" spans="1:7">
      <c r="A4" s="10" t="s">
        <v>2</v>
      </c>
      <c r="B4" s="9"/>
      <c r="C4" s="9"/>
      <c r="D4" s="9"/>
      <c r="E4" s="9"/>
      <c r="F4" s="9"/>
      <c r="G4" s="9"/>
    </row>
    <row r="5" spans="1:7">
      <c r="A5" s="73" t="s">
        <v>94</v>
      </c>
      <c r="B5" s="73"/>
      <c r="C5" s="73"/>
      <c r="D5" s="73"/>
      <c r="E5" s="73"/>
      <c r="F5" s="73"/>
      <c r="G5" s="73"/>
    </row>
    <row r="6" ht="31.25" customHeight="1" spans="1:7">
      <c r="A6" s="12" t="s">
        <v>95</v>
      </c>
      <c r="B6" s="13"/>
      <c r="C6" s="13"/>
      <c r="D6" s="13"/>
      <c r="E6" s="13"/>
      <c r="F6" s="13"/>
      <c r="G6" s="13"/>
    </row>
    <row r="7" spans="1:7">
      <c r="A7" s="14" t="s">
        <v>5</v>
      </c>
      <c r="B7" s="14" t="s">
        <v>6</v>
      </c>
      <c r="C7" s="14" t="s">
        <v>7</v>
      </c>
      <c r="D7" s="14" t="s">
        <v>8</v>
      </c>
      <c r="E7" s="14" t="s">
        <v>9</v>
      </c>
      <c r="F7" s="14" t="s">
        <v>10</v>
      </c>
      <c r="G7" s="14" t="s">
        <v>11</v>
      </c>
    </row>
    <row r="8" ht="15.75" customHeight="1" spans="1:7">
      <c r="A8" s="15">
        <v>1</v>
      </c>
      <c r="B8" s="16" t="s">
        <v>12</v>
      </c>
      <c r="C8" s="17">
        <v>206</v>
      </c>
      <c r="D8" s="16" t="s">
        <v>13</v>
      </c>
      <c r="E8" s="18">
        <v>15000</v>
      </c>
      <c r="F8" s="19">
        <f>SUM(C8*E8)</f>
        <v>3090000</v>
      </c>
      <c r="G8" s="16"/>
    </row>
    <row r="9" ht="15.75" customHeight="1" spans="1:7">
      <c r="A9" s="15">
        <v>2</v>
      </c>
      <c r="B9" s="16" t="s">
        <v>96</v>
      </c>
      <c r="C9" s="17">
        <v>284</v>
      </c>
      <c r="D9" s="16" t="s">
        <v>13</v>
      </c>
      <c r="E9" s="18">
        <v>36000</v>
      </c>
      <c r="F9" s="19">
        <f t="shared" ref="F9:F31" si="0">SUM(C9*E9)</f>
        <v>10224000</v>
      </c>
      <c r="G9" s="16"/>
    </row>
    <row r="10" ht="15.75" customHeight="1" spans="1:7">
      <c r="A10" s="15">
        <v>3</v>
      </c>
      <c r="B10" s="16" t="s">
        <v>15</v>
      </c>
      <c r="C10" s="17">
        <v>88</v>
      </c>
      <c r="D10" s="16" t="s">
        <v>13</v>
      </c>
      <c r="E10" s="18">
        <v>15000</v>
      </c>
      <c r="F10" s="19">
        <f t="shared" si="0"/>
        <v>1320000</v>
      </c>
      <c r="G10" s="16"/>
    </row>
    <row r="11" ht="15.75" customHeight="1" spans="1:7">
      <c r="A11" s="15">
        <v>4</v>
      </c>
      <c r="B11" s="16" t="s">
        <v>81</v>
      </c>
      <c r="C11" s="17">
        <v>72</v>
      </c>
      <c r="D11" s="16" t="s">
        <v>13</v>
      </c>
      <c r="E11" s="18">
        <v>20000</v>
      </c>
      <c r="F11" s="19">
        <f t="shared" si="0"/>
        <v>1440000</v>
      </c>
      <c r="G11" s="16"/>
    </row>
    <row r="12" ht="15.75" customHeight="1" spans="1:7">
      <c r="A12" s="15">
        <v>5</v>
      </c>
      <c r="B12" s="16" t="s">
        <v>84</v>
      </c>
      <c r="C12" s="17">
        <v>81</v>
      </c>
      <c r="D12" s="16" t="s">
        <v>13</v>
      </c>
      <c r="E12" s="18">
        <v>14000</v>
      </c>
      <c r="F12" s="19">
        <f t="shared" si="0"/>
        <v>1134000</v>
      </c>
      <c r="G12" s="16"/>
    </row>
    <row r="13" ht="15.75" customHeight="1" spans="1:7">
      <c r="A13" s="15">
        <v>6</v>
      </c>
      <c r="B13" s="16" t="s">
        <v>17</v>
      </c>
      <c r="C13" s="71">
        <v>86</v>
      </c>
      <c r="D13" s="16" t="s">
        <v>13</v>
      </c>
      <c r="E13" s="18">
        <v>12000</v>
      </c>
      <c r="F13" s="19">
        <f t="shared" si="0"/>
        <v>1032000</v>
      </c>
      <c r="G13" s="16"/>
    </row>
    <row r="14" ht="15.75" customHeight="1" spans="1:7">
      <c r="A14" s="15">
        <v>7</v>
      </c>
      <c r="B14" s="16" t="s">
        <v>97</v>
      </c>
      <c r="C14" s="71">
        <v>2839</v>
      </c>
      <c r="D14" s="16" t="s">
        <v>32</v>
      </c>
      <c r="E14" s="18">
        <v>1700</v>
      </c>
      <c r="F14" s="19">
        <f t="shared" si="0"/>
        <v>4826300</v>
      </c>
      <c r="G14" s="16"/>
    </row>
    <row r="15" ht="15.75" customHeight="1" spans="1:7">
      <c r="A15" s="15">
        <v>8</v>
      </c>
      <c r="B15" s="16" t="s">
        <v>19</v>
      </c>
      <c r="C15" s="71">
        <v>4</v>
      </c>
      <c r="D15" s="16" t="s">
        <v>20</v>
      </c>
      <c r="E15" s="18">
        <v>240000</v>
      </c>
      <c r="F15" s="19">
        <f t="shared" si="0"/>
        <v>960000</v>
      </c>
      <c r="G15" s="16"/>
    </row>
    <row r="16" ht="15.75" customHeight="1" spans="1:7">
      <c r="A16" s="15">
        <v>9</v>
      </c>
      <c r="B16" s="16" t="s">
        <v>21</v>
      </c>
      <c r="C16" s="71">
        <v>3</v>
      </c>
      <c r="D16" s="16" t="s">
        <v>13</v>
      </c>
      <c r="E16" s="18">
        <v>42000</v>
      </c>
      <c r="F16" s="19">
        <f t="shared" si="0"/>
        <v>126000</v>
      </c>
      <c r="G16" s="16"/>
    </row>
    <row r="17" ht="15.75" customHeight="1" spans="1:7">
      <c r="A17" s="15">
        <v>10</v>
      </c>
      <c r="B17" s="16" t="s">
        <v>22</v>
      </c>
      <c r="C17" s="72">
        <v>1</v>
      </c>
      <c r="D17" s="16" t="s">
        <v>13</v>
      </c>
      <c r="E17" s="18">
        <v>40000</v>
      </c>
      <c r="F17" s="19">
        <f t="shared" si="0"/>
        <v>40000</v>
      </c>
      <c r="G17" s="16"/>
    </row>
    <row r="18" ht="15.75" customHeight="1" spans="1:7">
      <c r="A18" s="15">
        <v>12</v>
      </c>
      <c r="B18" s="16" t="s">
        <v>98</v>
      </c>
      <c r="C18" s="72">
        <v>1</v>
      </c>
      <c r="D18" s="16" t="s">
        <v>13</v>
      </c>
      <c r="E18" s="18">
        <v>62000</v>
      </c>
      <c r="F18" s="19">
        <f t="shared" si="0"/>
        <v>62000</v>
      </c>
      <c r="G18" s="16"/>
    </row>
    <row r="19" ht="15.75" customHeight="1" spans="1:7">
      <c r="A19" s="15">
        <v>13</v>
      </c>
      <c r="B19" s="16" t="s">
        <v>85</v>
      </c>
      <c r="C19" s="72">
        <v>1</v>
      </c>
      <c r="D19" s="16" t="s">
        <v>13</v>
      </c>
      <c r="E19" s="18">
        <v>15000</v>
      </c>
      <c r="F19" s="19">
        <f t="shared" si="0"/>
        <v>15000</v>
      </c>
      <c r="G19" s="16"/>
    </row>
    <row r="20" ht="15.75" customHeight="1" spans="1:7">
      <c r="A20" s="15">
        <v>14</v>
      </c>
      <c r="B20" s="16" t="s">
        <v>99</v>
      </c>
      <c r="C20" s="72">
        <v>2</v>
      </c>
      <c r="D20" s="16" t="s">
        <v>37</v>
      </c>
      <c r="E20" s="18">
        <v>44000</v>
      </c>
      <c r="F20" s="19">
        <f t="shared" si="0"/>
        <v>88000</v>
      </c>
      <c r="G20" s="16" t="s">
        <v>100</v>
      </c>
    </row>
    <row r="21" ht="15.75" customHeight="1" spans="1:7">
      <c r="A21" s="15">
        <v>15</v>
      </c>
      <c r="B21" s="16" t="s">
        <v>36</v>
      </c>
      <c r="C21" s="72">
        <v>1</v>
      </c>
      <c r="D21" s="16" t="s">
        <v>37</v>
      </c>
      <c r="E21" s="18">
        <v>60000</v>
      </c>
      <c r="F21" s="19">
        <f t="shared" si="0"/>
        <v>60000</v>
      </c>
      <c r="G21" s="16"/>
    </row>
    <row r="22" ht="15.75" customHeight="1" spans="1:7">
      <c r="A22" s="15">
        <v>16</v>
      </c>
      <c r="B22" s="16" t="s">
        <v>38</v>
      </c>
      <c r="C22" s="72">
        <v>1</v>
      </c>
      <c r="D22" s="16" t="s">
        <v>37</v>
      </c>
      <c r="E22" s="18">
        <v>60000</v>
      </c>
      <c r="F22" s="19">
        <f t="shared" si="0"/>
        <v>60000</v>
      </c>
      <c r="G22" s="16"/>
    </row>
    <row r="23" ht="15.75" customHeight="1" spans="1:7">
      <c r="A23" s="15">
        <v>17</v>
      </c>
      <c r="B23" s="16" t="s">
        <v>101</v>
      </c>
      <c r="C23" s="72">
        <v>1</v>
      </c>
      <c r="D23" s="16" t="s">
        <v>37</v>
      </c>
      <c r="E23" s="18">
        <v>15000</v>
      </c>
      <c r="F23" s="19">
        <f t="shared" si="0"/>
        <v>15000</v>
      </c>
      <c r="G23" s="16" t="s">
        <v>102</v>
      </c>
    </row>
    <row r="24" ht="15.75" customHeight="1" spans="1:7">
      <c r="A24" s="15">
        <v>18</v>
      </c>
      <c r="B24" s="16" t="s">
        <v>103</v>
      </c>
      <c r="C24" s="72">
        <v>0.5</v>
      </c>
      <c r="D24" s="16" t="s">
        <v>13</v>
      </c>
      <c r="E24" s="18">
        <v>25000</v>
      </c>
      <c r="F24" s="19">
        <f t="shared" si="0"/>
        <v>12500</v>
      </c>
      <c r="G24" s="16"/>
    </row>
    <row r="25" ht="15.75" customHeight="1" spans="1:7">
      <c r="A25" s="15">
        <v>19</v>
      </c>
      <c r="B25" s="16" t="s">
        <v>104</v>
      </c>
      <c r="C25" s="72">
        <v>2</v>
      </c>
      <c r="D25" s="16" t="s">
        <v>13</v>
      </c>
      <c r="E25" s="18">
        <v>45000</v>
      </c>
      <c r="F25" s="19">
        <f t="shared" si="0"/>
        <v>90000</v>
      </c>
      <c r="G25" s="16"/>
    </row>
    <row r="26" ht="15.75" customHeight="1" spans="1:7">
      <c r="A26" s="15">
        <v>20</v>
      </c>
      <c r="B26" s="16" t="s">
        <v>31</v>
      </c>
      <c r="C26" s="72">
        <v>10</v>
      </c>
      <c r="D26" s="16" t="s">
        <v>32</v>
      </c>
      <c r="E26" s="18">
        <v>2000</v>
      </c>
      <c r="F26" s="19">
        <f t="shared" si="0"/>
        <v>20000</v>
      </c>
      <c r="G26" s="16"/>
    </row>
    <row r="27" ht="15.75" customHeight="1" spans="1:7">
      <c r="A27" s="15">
        <v>21</v>
      </c>
      <c r="B27" s="16" t="s">
        <v>34</v>
      </c>
      <c r="C27" s="72">
        <v>3</v>
      </c>
      <c r="D27" s="16" t="s">
        <v>32</v>
      </c>
      <c r="E27" s="18">
        <v>25000</v>
      </c>
      <c r="F27" s="19">
        <f t="shared" si="0"/>
        <v>75000</v>
      </c>
      <c r="G27" s="16"/>
    </row>
    <row r="28" ht="15.75" customHeight="1" spans="1:7">
      <c r="A28" s="15">
        <v>22</v>
      </c>
      <c r="B28" s="16" t="s">
        <v>35</v>
      </c>
      <c r="C28" s="72">
        <v>1</v>
      </c>
      <c r="D28" s="16" t="s">
        <v>13</v>
      </c>
      <c r="E28" s="18">
        <v>21000</v>
      </c>
      <c r="F28" s="19">
        <f t="shared" si="0"/>
        <v>21000</v>
      </c>
      <c r="G28" s="16"/>
    </row>
    <row r="29" ht="15.75" customHeight="1" spans="1:7">
      <c r="A29" s="15">
        <v>23</v>
      </c>
      <c r="B29" s="16" t="s">
        <v>92</v>
      </c>
      <c r="C29" s="72">
        <v>1</v>
      </c>
      <c r="D29" s="16" t="s">
        <v>89</v>
      </c>
      <c r="E29" s="18">
        <v>12000</v>
      </c>
      <c r="F29" s="19">
        <f t="shared" si="0"/>
        <v>12000</v>
      </c>
      <c r="G29" s="16"/>
    </row>
    <row r="30" ht="15.75" customHeight="1" spans="1:7">
      <c r="A30" s="15">
        <v>24</v>
      </c>
      <c r="B30" s="16" t="s">
        <v>105</v>
      </c>
      <c r="C30" s="72">
        <v>15</v>
      </c>
      <c r="D30" s="16" t="s">
        <v>13</v>
      </c>
      <c r="E30" s="18">
        <v>35000</v>
      </c>
      <c r="F30" s="19">
        <f t="shared" si="0"/>
        <v>525000</v>
      </c>
      <c r="G30" s="16"/>
    </row>
    <row r="31" ht="15.75" customHeight="1" spans="1:7">
      <c r="A31" s="15">
        <v>25</v>
      </c>
      <c r="B31" s="16" t="s">
        <v>86</v>
      </c>
      <c r="C31" s="72">
        <v>3</v>
      </c>
      <c r="D31" s="16" t="s">
        <v>13</v>
      </c>
      <c r="E31" s="18">
        <v>15000</v>
      </c>
      <c r="F31" s="19">
        <f t="shared" si="0"/>
        <v>45000</v>
      </c>
      <c r="G31" s="16"/>
    </row>
    <row r="32" ht="15.75" customHeight="1" spans="1:7">
      <c r="A32" s="39" t="s">
        <v>40</v>
      </c>
      <c r="B32" s="36"/>
      <c r="C32" s="36"/>
      <c r="D32" s="36"/>
      <c r="E32" s="37"/>
      <c r="F32" s="40">
        <f>SUM(F8:F31)</f>
        <v>25292800</v>
      </c>
      <c r="G32" s="34"/>
    </row>
    <row r="33" ht="15.75" customHeight="1" spans="1:7">
      <c r="A33" s="35" t="s">
        <v>41</v>
      </c>
      <c r="B33" s="36"/>
      <c r="C33" s="36"/>
      <c r="D33" s="36"/>
      <c r="E33" s="37"/>
      <c r="F33" s="38">
        <f>SUM(F38:F86)</f>
        <v>25274000</v>
      </c>
      <c r="G33" s="34"/>
    </row>
    <row r="34" ht="15.75" customHeight="1" spans="1:7">
      <c r="A34" s="39" t="s">
        <v>42</v>
      </c>
      <c r="B34" s="36"/>
      <c r="C34" s="36"/>
      <c r="D34" s="36"/>
      <c r="E34" s="37"/>
      <c r="F34" s="40">
        <f>SUM(F33-F32)</f>
        <v>-18800</v>
      </c>
      <c r="G34" s="34"/>
    </row>
    <row r="35" ht="15.75" customHeight="1"/>
    <row r="36" ht="15.75" customHeight="1"/>
    <row r="37" ht="15.75" customHeight="1" spans="1:7">
      <c r="A37" s="41" t="s">
        <v>5</v>
      </c>
      <c r="B37" s="42" t="s">
        <v>43</v>
      </c>
      <c r="C37" s="43" t="s">
        <v>44</v>
      </c>
      <c r="D37" s="44" t="s">
        <v>45</v>
      </c>
      <c r="E37" s="43" t="s">
        <v>46</v>
      </c>
      <c r="F37" s="43" t="s">
        <v>10</v>
      </c>
    </row>
    <row r="38" ht="15.75" customHeight="1" spans="1:7">
      <c r="A38" s="45">
        <v>1</v>
      </c>
      <c r="B38" s="46" t="s">
        <v>47</v>
      </c>
      <c r="C38" s="47" t="s">
        <v>48</v>
      </c>
      <c r="D38" s="48">
        <v>123</v>
      </c>
      <c r="E38" s="49">
        <v>8000</v>
      </c>
      <c r="F38" s="49">
        <f>E38*D38</f>
        <v>984000</v>
      </c>
    </row>
    <row r="39" ht="15.75" customHeight="1" spans="1:7">
      <c r="A39" s="45"/>
      <c r="B39" s="46"/>
      <c r="C39" s="50" t="s">
        <v>49</v>
      </c>
      <c r="D39" s="48">
        <v>119</v>
      </c>
      <c r="E39" s="49">
        <v>10000</v>
      </c>
      <c r="F39" s="49">
        <f t="shared" ref="F39:F75" si="1">E39*D39</f>
        <v>1190000</v>
      </c>
      <c r="G39" s="51"/>
    </row>
    <row r="40" ht="15.75" customHeight="1" spans="1:7">
      <c r="A40" s="45">
        <v>2</v>
      </c>
      <c r="B40" s="46" t="s">
        <v>50</v>
      </c>
      <c r="C40" s="47" t="s">
        <v>48</v>
      </c>
      <c r="D40" s="47">
        <v>26</v>
      </c>
      <c r="E40" s="49">
        <v>8000</v>
      </c>
      <c r="F40" s="49">
        <f t="shared" si="1"/>
        <v>208000</v>
      </c>
    </row>
    <row r="41" ht="15.75" customHeight="1" spans="1:7">
      <c r="A41" s="45"/>
      <c r="B41" s="46"/>
      <c r="C41" s="50" t="s">
        <v>49</v>
      </c>
      <c r="D41" s="47">
        <v>6</v>
      </c>
      <c r="E41" s="49">
        <v>10000</v>
      </c>
      <c r="F41" s="49">
        <f t="shared" si="1"/>
        <v>60000</v>
      </c>
    </row>
    <row r="42" ht="15.75" customHeight="1" spans="1:7">
      <c r="A42" s="45">
        <v>3</v>
      </c>
      <c r="B42" s="46" t="s">
        <v>51</v>
      </c>
      <c r="C42" s="47" t="s">
        <v>48</v>
      </c>
      <c r="D42" s="47">
        <v>108</v>
      </c>
      <c r="E42" s="49">
        <v>8000</v>
      </c>
      <c r="F42" s="49">
        <f t="shared" si="1"/>
        <v>864000</v>
      </c>
    </row>
    <row r="43" ht="15.75" customHeight="1" spans="1:7">
      <c r="A43" s="45"/>
      <c r="B43" s="46"/>
      <c r="C43" s="50" t="s">
        <v>49</v>
      </c>
      <c r="D43" s="47">
        <v>86</v>
      </c>
      <c r="E43" s="49">
        <v>10000</v>
      </c>
      <c r="F43" s="49">
        <f t="shared" si="1"/>
        <v>860000</v>
      </c>
    </row>
    <row r="44" ht="15.75" customHeight="1" spans="1:7">
      <c r="A44" s="45">
        <v>4</v>
      </c>
      <c r="B44" s="52" t="s">
        <v>52</v>
      </c>
      <c r="C44" s="47" t="s">
        <v>48</v>
      </c>
      <c r="D44" s="47">
        <v>132</v>
      </c>
      <c r="E44" s="49">
        <v>8000</v>
      </c>
      <c r="F44" s="49">
        <f t="shared" si="1"/>
        <v>1056000</v>
      </c>
    </row>
    <row r="45" ht="15.75" customHeight="1" spans="1:7">
      <c r="A45" s="45"/>
      <c r="B45" s="46"/>
      <c r="C45" s="50" t="s">
        <v>49</v>
      </c>
      <c r="D45" s="47">
        <v>147</v>
      </c>
      <c r="E45" s="49">
        <v>10000</v>
      </c>
      <c r="F45" s="49">
        <f t="shared" si="1"/>
        <v>1470000</v>
      </c>
    </row>
    <row r="46" ht="15.75" customHeight="1" spans="1:7">
      <c r="A46" s="45">
        <v>5</v>
      </c>
      <c r="B46" s="46" t="s">
        <v>53</v>
      </c>
      <c r="C46" s="47" t="s">
        <v>48</v>
      </c>
      <c r="D46" s="47">
        <v>75</v>
      </c>
      <c r="E46" s="49">
        <v>8000</v>
      </c>
      <c r="F46" s="49">
        <f t="shared" si="1"/>
        <v>600000</v>
      </c>
    </row>
    <row r="47" ht="15.75" customHeight="1" spans="1:7">
      <c r="A47" s="45"/>
      <c r="B47" s="46"/>
      <c r="C47" s="50" t="s">
        <v>49</v>
      </c>
      <c r="D47" s="47">
        <v>105</v>
      </c>
      <c r="E47" s="49">
        <v>10000</v>
      </c>
      <c r="F47" s="49">
        <f t="shared" si="1"/>
        <v>1050000</v>
      </c>
    </row>
    <row r="48" ht="15.75" customHeight="1" spans="1:7">
      <c r="A48" s="45">
        <v>6</v>
      </c>
      <c r="B48" s="46" t="s">
        <v>54</v>
      </c>
      <c r="C48" s="47" t="s">
        <v>48</v>
      </c>
      <c r="D48" s="47">
        <v>49</v>
      </c>
      <c r="E48" s="49">
        <v>8000</v>
      </c>
      <c r="F48" s="49">
        <f t="shared" si="1"/>
        <v>392000</v>
      </c>
    </row>
    <row r="49" ht="15.75" customHeight="1" spans="1:6">
      <c r="A49" s="53"/>
      <c r="B49" s="54"/>
      <c r="C49" s="50" t="s">
        <v>49</v>
      </c>
      <c r="D49" s="47">
        <v>7</v>
      </c>
      <c r="E49" s="49">
        <v>10000</v>
      </c>
      <c r="F49" s="49">
        <f t="shared" si="1"/>
        <v>70000</v>
      </c>
    </row>
    <row r="50" ht="15.75" customHeight="1" spans="1:6">
      <c r="A50" s="55">
        <v>7</v>
      </c>
      <c r="B50" s="56" t="s">
        <v>55</v>
      </c>
      <c r="C50" s="55" t="s">
        <v>48</v>
      </c>
      <c r="D50" s="55">
        <v>28</v>
      </c>
      <c r="E50" s="57">
        <v>8000</v>
      </c>
      <c r="F50" s="57">
        <f t="shared" si="1"/>
        <v>224000</v>
      </c>
    </row>
    <row r="51" ht="15.75" customHeight="1" spans="1:6">
      <c r="A51" s="55"/>
      <c r="B51" s="56"/>
      <c r="C51" s="55" t="s">
        <v>49</v>
      </c>
      <c r="D51" s="55">
        <v>6</v>
      </c>
      <c r="E51" s="57">
        <v>10000</v>
      </c>
      <c r="F51" s="57">
        <f t="shared" si="1"/>
        <v>60000</v>
      </c>
    </row>
    <row r="52" ht="15.75" customHeight="1" spans="1:6">
      <c r="A52" s="58">
        <v>9</v>
      </c>
      <c r="B52" s="59" t="s">
        <v>56</v>
      </c>
      <c r="C52" s="47" t="s">
        <v>48</v>
      </c>
      <c r="D52" s="47">
        <v>13</v>
      </c>
      <c r="E52" s="49">
        <v>8000</v>
      </c>
      <c r="F52" s="49">
        <f t="shared" si="1"/>
        <v>104000</v>
      </c>
    </row>
    <row r="53" ht="15.75" customHeight="1" spans="1:6">
      <c r="A53" s="58"/>
      <c r="B53" s="59"/>
      <c r="C53" s="50" t="s">
        <v>49</v>
      </c>
      <c r="D53" s="47">
        <v>4</v>
      </c>
      <c r="E53" s="49">
        <v>10000</v>
      </c>
      <c r="F53" s="49">
        <f t="shared" si="1"/>
        <v>40000</v>
      </c>
    </row>
    <row r="54" ht="15.75" customHeight="1" spans="1:6">
      <c r="A54" s="58">
        <v>10</v>
      </c>
      <c r="B54" s="59" t="s">
        <v>57</v>
      </c>
      <c r="C54" s="47" t="s">
        <v>48</v>
      </c>
      <c r="D54" s="47">
        <v>40</v>
      </c>
      <c r="E54" s="49">
        <v>8000</v>
      </c>
      <c r="F54" s="49">
        <f t="shared" si="1"/>
        <v>320000</v>
      </c>
    </row>
    <row r="55" ht="15.75" customHeight="1" spans="1:6">
      <c r="A55" s="58"/>
      <c r="B55" s="59"/>
      <c r="C55" s="50" t="s">
        <v>49</v>
      </c>
      <c r="D55" s="47">
        <v>10</v>
      </c>
      <c r="E55" s="49">
        <v>10000</v>
      </c>
      <c r="F55" s="49">
        <f t="shared" si="1"/>
        <v>100000</v>
      </c>
    </row>
    <row r="56" ht="15.75" customHeight="1" spans="1:6">
      <c r="A56" s="58">
        <v>11</v>
      </c>
      <c r="B56" s="59" t="s">
        <v>58</v>
      </c>
      <c r="C56" s="47" t="s">
        <v>48</v>
      </c>
      <c r="D56" s="47">
        <v>79</v>
      </c>
      <c r="E56" s="49">
        <v>8000</v>
      </c>
      <c r="F56" s="49">
        <f t="shared" si="1"/>
        <v>632000</v>
      </c>
    </row>
    <row r="57" ht="15.75" customHeight="1" spans="1:6">
      <c r="A57" s="58"/>
      <c r="B57" s="59"/>
      <c r="C57" s="50" t="s">
        <v>49</v>
      </c>
      <c r="D57" s="47">
        <v>14</v>
      </c>
      <c r="E57" s="49">
        <v>10000</v>
      </c>
      <c r="F57" s="49">
        <f t="shared" si="1"/>
        <v>140000</v>
      </c>
    </row>
    <row r="58" ht="15.75" customHeight="1" spans="1:6">
      <c r="A58" s="58">
        <v>12</v>
      </c>
      <c r="B58" s="59" t="s">
        <v>59</v>
      </c>
      <c r="C58" s="47" t="s">
        <v>48</v>
      </c>
      <c r="D58" s="47">
        <v>42</v>
      </c>
      <c r="E58" s="49">
        <v>8000</v>
      </c>
      <c r="F58" s="49">
        <f t="shared" si="1"/>
        <v>336000</v>
      </c>
    </row>
    <row r="59" ht="15.75" customHeight="1" spans="1:6">
      <c r="A59" s="58"/>
      <c r="B59" s="59"/>
      <c r="C59" s="50" t="s">
        <v>49</v>
      </c>
      <c r="D59" s="47">
        <v>7</v>
      </c>
      <c r="E59" s="49">
        <v>10000</v>
      </c>
      <c r="F59" s="49">
        <f t="shared" si="1"/>
        <v>70000</v>
      </c>
    </row>
    <row r="60" ht="15.75" customHeight="1" spans="1:6">
      <c r="A60" s="60">
        <v>13</v>
      </c>
      <c r="B60" s="61" t="s">
        <v>60</v>
      </c>
      <c r="C60" s="55" t="s">
        <v>48</v>
      </c>
      <c r="D60" s="55">
        <v>23</v>
      </c>
      <c r="E60" s="57">
        <v>8000</v>
      </c>
      <c r="F60" s="57">
        <f t="shared" si="1"/>
        <v>184000</v>
      </c>
    </row>
    <row r="61" ht="15.75" customHeight="1" spans="1:6">
      <c r="A61" s="60"/>
      <c r="B61" s="61"/>
      <c r="C61" s="55" t="s">
        <v>49</v>
      </c>
      <c r="D61" s="55">
        <v>3</v>
      </c>
      <c r="E61" s="57">
        <v>10000</v>
      </c>
      <c r="F61" s="57">
        <f t="shared" si="1"/>
        <v>30000</v>
      </c>
    </row>
    <row r="62" ht="15.75" customHeight="1" spans="1:6">
      <c r="A62" s="58">
        <v>14</v>
      </c>
      <c r="B62" s="59" t="s">
        <v>61</v>
      </c>
      <c r="C62" s="47" t="s">
        <v>48</v>
      </c>
      <c r="D62" s="47">
        <v>16</v>
      </c>
      <c r="E62" s="49">
        <v>8000</v>
      </c>
      <c r="F62" s="49">
        <f t="shared" si="1"/>
        <v>128000</v>
      </c>
    </row>
    <row r="63" ht="15.75" customHeight="1" spans="1:6">
      <c r="A63" s="58"/>
      <c r="B63" s="59"/>
      <c r="C63" s="50" t="s">
        <v>49</v>
      </c>
      <c r="D63" s="47">
        <v>4</v>
      </c>
      <c r="E63" s="49">
        <v>10000</v>
      </c>
      <c r="F63" s="49">
        <f t="shared" si="1"/>
        <v>40000</v>
      </c>
    </row>
    <row r="64" ht="15.75" customHeight="1" spans="1:6">
      <c r="A64" s="58">
        <v>15</v>
      </c>
      <c r="B64" s="59" t="s">
        <v>62</v>
      </c>
      <c r="C64" s="47" t="s">
        <v>48</v>
      </c>
      <c r="D64" s="58"/>
      <c r="E64" s="49">
        <v>8000</v>
      </c>
      <c r="F64" s="49">
        <f t="shared" si="1"/>
        <v>0</v>
      </c>
    </row>
    <row r="65" ht="15.75" customHeight="1" spans="1:7">
      <c r="A65" s="58"/>
      <c r="B65" s="59"/>
      <c r="C65" s="50" t="s">
        <v>49</v>
      </c>
      <c r="D65" s="58">
        <v>55</v>
      </c>
      <c r="E65" s="49">
        <v>10000</v>
      </c>
      <c r="F65" s="49">
        <f t="shared" si="1"/>
        <v>550000</v>
      </c>
    </row>
    <row r="66" ht="15.75" customHeight="1" spans="1:7">
      <c r="A66" s="58">
        <v>16</v>
      </c>
      <c r="B66" s="58" t="s">
        <v>63</v>
      </c>
      <c r="C66" s="47" t="s">
        <v>48</v>
      </c>
      <c r="D66" s="58">
        <v>327</v>
      </c>
      <c r="E66" s="49">
        <v>8000</v>
      </c>
      <c r="F66" s="49">
        <f t="shared" si="1"/>
        <v>2616000</v>
      </c>
    </row>
    <row r="67" ht="15.75" customHeight="1" spans="1:7">
      <c r="A67" s="58"/>
      <c r="B67" s="58"/>
      <c r="C67" s="50" t="s">
        <v>49</v>
      </c>
      <c r="D67" s="58">
        <v>402</v>
      </c>
      <c r="E67" s="49">
        <v>10000</v>
      </c>
      <c r="F67" s="49">
        <f t="shared" si="1"/>
        <v>4020000</v>
      </c>
    </row>
    <row r="68" ht="15.75" customHeight="1" spans="1:7">
      <c r="A68" s="58">
        <v>17</v>
      </c>
      <c r="B68" s="58" t="s">
        <v>64</v>
      </c>
      <c r="C68" s="47" t="s">
        <v>48</v>
      </c>
      <c r="D68" s="58">
        <v>109</v>
      </c>
      <c r="E68" s="49">
        <v>8000</v>
      </c>
      <c r="F68" s="49">
        <f t="shared" si="1"/>
        <v>872000</v>
      </c>
    </row>
    <row r="69" ht="15.75" customHeight="1" spans="1:7">
      <c r="A69" s="58"/>
      <c r="B69" s="58"/>
      <c r="C69" s="50" t="s">
        <v>49</v>
      </c>
      <c r="D69" s="58">
        <v>126</v>
      </c>
      <c r="E69" s="49">
        <v>10000</v>
      </c>
      <c r="F69" s="49">
        <f t="shared" si="1"/>
        <v>1260000</v>
      </c>
    </row>
    <row r="70" ht="15.75" customHeight="1" spans="1:7">
      <c r="A70" s="58">
        <v>18</v>
      </c>
      <c r="B70" s="58" t="s">
        <v>65</v>
      </c>
      <c r="C70" s="47" t="s">
        <v>48</v>
      </c>
      <c r="D70" s="58">
        <v>42</v>
      </c>
      <c r="E70" s="49">
        <v>8000</v>
      </c>
      <c r="F70" s="49">
        <f t="shared" si="1"/>
        <v>336000</v>
      </c>
    </row>
    <row r="71" ht="15.75" customHeight="1" spans="1:7">
      <c r="A71" s="58"/>
      <c r="B71" s="58"/>
      <c r="C71" s="50" t="s">
        <v>49</v>
      </c>
      <c r="D71" s="58">
        <v>9</v>
      </c>
      <c r="E71" s="49">
        <v>10000</v>
      </c>
      <c r="F71" s="49">
        <f t="shared" si="1"/>
        <v>90000</v>
      </c>
    </row>
    <row r="72" ht="15.75" customHeight="1" spans="1:7">
      <c r="A72" s="58">
        <v>19</v>
      </c>
      <c r="B72" s="58" t="s">
        <v>66</v>
      </c>
      <c r="C72" s="47" t="s">
        <v>48</v>
      </c>
      <c r="D72" s="58">
        <v>22</v>
      </c>
      <c r="E72" s="49">
        <v>8000</v>
      </c>
      <c r="F72" s="49">
        <f t="shared" si="1"/>
        <v>176000</v>
      </c>
    </row>
    <row r="73" ht="15.75" customHeight="1" spans="1:7">
      <c r="A73" s="58"/>
      <c r="B73" s="58"/>
      <c r="C73" s="50" t="s">
        <v>49</v>
      </c>
      <c r="D73" s="58">
        <v>7</v>
      </c>
      <c r="E73" s="49">
        <v>10000</v>
      </c>
      <c r="F73" s="49">
        <f t="shared" si="1"/>
        <v>70000</v>
      </c>
    </row>
    <row r="74" ht="15.75" customHeight="1" spans="1:7">
      <c r="A74" s="58">
        <v>20</v>
      </c>
      <c r="B74" s="58" t="s">
        <v>67</v>
      </c>
      <c r="C74" s="47" t="s">
        <v>48</v>
      </c>
      <c r="D74" s="58">
        <v>52</v>
      </c>
      <c r="E74" s="49">
        <v>8000</v>
      </c>
      <c r="F74" s="49">
        <f t="shared" si="1"/>
        <v>416000</v>
      </c>
    </row>
    <row r="75" ht="15.75" customHeight="1" spans="1:7">
      <c r="A75" s="58"/>
      <c r="B75" s="58"/>
      <c r="C75" s="50" t="s">
        <v>49</v>
      </c>
      <c r="D75" s="58">
        <v>8</v>
      </c>
      <c r="E75" s="49">
        <v>10000</v>
      </c>
      <c r="F75" s="49">
        <f t="shared" si="1"/>
        <v>80000</v>
      </c>
    </row>
    <row r="76" ht="15.75" customHeight="1" spans="1:7">
      <c r="A76" s="62">
        <v>20</v>
      </c>
      <c r="B76" s="62" t="s">
        <v>68</v>
      </c>
      <c r="C76" s="47" t="s">
        <v>48</v>
      </c>
      <c r="D76" s="62">
        <v>43</v>
      </c>
      <c r="E76" s="49">
        <v>8000</v>
      </c>
      <c r="F76" s="49">
        <f t="shared" ref="F76:F77" si="2">E76*D76</f>
        <v>344000</v>
      </c>
    </row>
    <row r="77" ht="15.75" customHeight="1" spans="1:7">
      <c r="A77" s="62"/>
      <c r="B77" s="62"/>
      <c r="C77" s="50" t="s">
        <v>49</v>
      </c>
      <c r="D77" s="62">
        <v>3</v>
      </c>
      <c r="E77" s="49">
        <v>10000</v>
      </c>
      <c r="F77" s="49">
        <f t="shared" si="2"/>
        <v>30000</v>
      </c>
    </row>
    <row r="78" ht="15.75" customHeight="1" spans="1:7">
      <c r="A78" s="5"/>
      <c r="B78" s="5" t="s">
        <v>69</v>
      </c>
      <c r="C78" s="63" t="s">
        <v>70</v>
      </c>
      <c r="D78" s="5">
        <v>70</v>
      </c>
      <c r="E78" s="64">
        <v>8000</v>
      </c>
      <c r="F78" s="64">
        <f>SUM(D78*E78)</f>
        <v>560000</v>
      </c>
      <c r="G78" s="65" t="s">
        <v>71</v>
      </c>
    </row>
    <row r="79" ht="15.75" customHeight="1" spans="1:7">
      <c r="A79" s="5"/>
      <c r="B79" s="5"/>
      <c r="C79" s="63" t="s">
        <v>72</v>
      </c>
      <c r="D79" s="5">
        <v>54</v>
      </c>
      <c r="E79" s="64">
        <v>10000</v>
      </c>
      <c r="F79" s="64">
        <f t="shared" ref="F79:F85" si="3">SUM(D79*E79)</f>
        <v>540000</v>
      </c>
      <c r="G79" s="65"/>
    </row>
    <row r="80" ht="15.75" customHeight="1" spans="1:7">
      <c r="A80" s="5"/>
      <c r="B80" s="5" t="s">
        <v>73</v>
      </c>
      <c r="C80" s="63" t="s">
        <v>74</v>
      </c>
      <c r="D80" s="5">
        <v>32</v>
      </c>
      <c r="E80" s="64">
        <v>8000</v>
      </c>
      <c r="F80" s="64">
        <f t="shared" si="3"/>
        <v>256000</v>
      </c>
      <c r="G80" s="65"/>
    </row>
    <row r="81" ht="15.75" customHeight="1" spans="1:7">
      <c r="A81" s="5"/>
      <c r="B81" s="5"/>
      <c r="C81" s="63" t="s">
        <v>72</v>
      </c>
      <c r="D81" s="5">
        <v>31</v>
      </c>
      <c r="E81" s="64">
        <v>10000</v>
      </c>
      <c r="F81" s="64">
        <f t="shared" si="3"/>
        <v>310000</v>
      </c>
      <c r="G81" s="65"/>
    </row>
    <row r="82" ht="15.75" customHeight="1" spans="1:7">
      <c r="A82" s="5"/>
      <c r="B82" s="5" t="s">
        <v>75</v>
      </c>
      <c r="C82" s="63" t="s">
        <v>74</v>
      </c>
      <c r="D82" s="5">
        <v>59</v>
      </c>
      <c r="E82" s="64">
        <v>8000</v>
      </c>
      <c r="F82" s="64">
        <f t="shared" si="3"/>
        <v>472000</v>
      </c>
      <c r="G82" s="65"/>
    </row>
    <row r="83" ht="15.75" customHeight="1" spans="1:7">
      <c r="A83" s="5"/>
      <c r="B83" s="5"/>
      <c r="C83" s="63" t="s">
        <v>72</v>
      </c>
      <c r="D83" s="5">
        <v>30</v>
      </c>
      <c r="E83" s="64">
        <v>10000</v>
      </c>
      <c r="F83" s="64">
        <f t="shared" si="3"/>
        <v>300000</v>
      </c>
      <c r="G83" s="65"/>
    </row>
    <row r="84" ht="15.75" customHeight="1" spans="1:7">
      <c r="A84" s="5"/>
      <c r="B84" s="5" t="s">
        <v>76</v>
      </c>
      <c r="C84" s="63" t="s">
        <v>74</v>
      </c>
      <c r="D84" s="5">
        <v>48</v>
      </c>
      <c r="E84" s="64">
        <v>8000</v>
      </c>
      <c r="F84" s="64">
        <f t="shared" si="3"/>
        <v>384000</v>
      </c>
      <c r="G84" s="65"/>
    </row>
    <row r="85" ht="15.75" customHeight="1" spans="1:7">
      <c r="A85" s="5"/>
      <c r="B85" s="5"/>
      <c r="C85" s="63" t="s">
        <v>72</v>
      </c>
      <c r="D85" s="5">
        <v>38</v>
      </c>
      <c r="E85" s="64">
        <v>10000</v>
      </c>
      <c r="F85" s="64">
        <f t="shared" si="3"/>
        <v>380000</v>
      </c>
      <c r="G85" s="66"/>
    </row>
    <row r="86" ht="15.75" customHeight="1" spans="1:7">
      <c r="A86" s="62"/>
      <c r="B86" s="62"/>
      <c r="C86" s="67"/>
      <c r="D86" s="62"/>
      <c r="E86" s="68"/>
      <c r="F86" s="68"/>
    </row>
    <row r="87" ht="15.75" customHeight="1" spans="1:7">
      <c r="A87" s="62"/>
      <c r="B87" s="62"/>
      <c r="C87" s="67"/>
      <c r="D87" s="62"/>
      <c r="E87" s="68"/>
      <c r="F87" s="68"/>
    </row>
    <row r="88" ht="15.75" customHeight="1" spans="1:7">
      <c r="A88" s="62"/>
      <c r="B88" s="62"/>
      <c r="C88" s="67"/>
      <c r="D88" s="62">
        <f>SUM(D38:D85)</f>
        <v>2839</v>
      </c>
      <c r="E88" s="68"/>
      <c r="F88" s="69">
        <f>SUM(F38:F85)</f>
        <v>25274000</v>
      </c>
    </row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mergeCells count="9">
    <mergeCell ref="A2:G2"/>
    <mergeCell ref="A3:G3"/>
    <mergeCell ref="A4:G4"/>
    <mergeCell ref="A5:G5"/>
    <mergeCell ref="A6:G6"/>
    <mergeCell ref="A32:E32"/>
    <mergeCell ref="A33:E33"/>
    <mergeCell ref="A34:E34"/>
    <mergeCell ref="G78:G84"/>
  </mergeCell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J1008"/>
  <sheetViews>
    <sheetView topLeftCell="A6" workbookViewId="0">
      <selection activeCell="E10" sqref="E10"/>
    </sheetView>
  </sheetViews>
  <sheetFormatPr defaultColWidth="14.5" defaultRowHeight="16.8"/>
  <cols>
    <col min="1" max="1" width="5.6640625" customWidth="1"/>
    <col min="2" max="2" width="21.1640625" customWidth="1"/>
    <col min="3" max="3" width="15.5" customWidth="1"/>
    <col min="4" max="4" width="21" customWidth="1"/>
    <col min="5" max="5" width="18.8359375" customWidth="1"/>
    <col min="6" max="6" width="18.5" customWidth="1"/>
    <col min="7" max="7" width="22.5" customWidth="1"/>
    <col min="8" max="8" width="8.6640625" customWidth="1"/>
    <col min="9" max="9" width="21.5" customWidth="1"/>
    <col min="10" max="10" width="30" customWidth="1"/>
    <col min="11" max="11" width="16" customWidth="1"/>
    <col min="12" max="12" width="16.5" customWidth="1"/>
    <col min="13" max="25" width="8.6640625" customWidth="1"/>
  </cols>
  <sheetData>
    <row r="2" ht="20.4" spans="1:10">
      <c r="A2" s="8" t="s">
        <v>0</v>
      </c>
      <c r="B2" s="9"/>
      <c r="C2" s="9"/>
      <c r="D2" s="9"/>
      <c r="E2" s="9"/>
      <c r="F2" s="9"/>
      <c r="G2" s="9"/>
    </row>
    <row r="3" ht="17.6" spans="1:10">
      <c r="A3" s="10" t="s">
        <v>1</v>
      </c>
      <c r="B3" s="9"/>
      <c r="C3" s="9"/>
      <c r="D3" s="9"/>
      <c r="E3" s="9"/>
      <c r="F3" s="9"/>
      <c r="G3" s="9"/>
    </row>
    <row r="4" ht="17.6" spans="1:10">
      <c r="A4" s="10" t="s">
        <v>2</v>
      </c>
      <c r="B4" s="9"/>
      <c r="C4" s="9"/>
      <c r="D4" s="9"/>
      <c r="E4" s="9"/>
      <c r="F4" s="9"/>
      <c r="G4" s="9"/>
    </row>
    <row r="5" ht="15.5" customHeight="1" spans="1:10">
      <c r="A5" s="11" t="s">
        <v>106</v>
      </c>
      <c r="B5" s="11"/>
      <c r="C5" s="11"/>
      <c r="D5" s="11"/>
      <c r="E5" s="11"/>
      <c r="F5" s="11"/>
      <c r="G5" s="11"/>
    </row>
    <row r="6" ht="31.25" customHeight="1" spans="1:10">
      <c r="A6" s="12" t="s">
        <v>107</v>
      </c>
      <c r="B6" s="13"/>
      <c r="C6" s="13"/>
      <c r="D6" s="13"/>
      <c r="E6" s="13"/>
      <c r="F6" s="13"/>
      <c r="G6" s="13"/>
    </row>
    <row r="7" spans="1:10">
      <c r="A7" s="14" t="s">
        <v>5</v>
      </c>
      <c r="B7" s="14" t="s">
        <v>6</v>
      </c>
      <c r="C7" s="14" t="s">
        <v>7</v>
      </c>
      <c r="D7" s="14" t="s">
        <v>8</v>
      </c>
      <c r="E7" s="14" t="s">
        <v>9</v>
      </c>
      <c r="F7" s="14" t="s">
        <v>10</v>
      </c>
      <c r="G7" s="14" t="s">
        <v>11</v>
      </c>
    </row>
    <row r="8" ht="15.75" customHeight="1" spans="1:10">
      <c r="A8" s="15">
        <v>1</v>
      </c>
      <c r="B8" s="16" t="s">
        <v>12</v>
      </c>
      <c r="C8" s="17">
        <v>206</v>
      </c>
      <c r="D8" s="16" t="s">
        <v>13</v>
      </c>
      <c r="E8" s="18">
        <v>15000</v>
      </c>
      <c r="F8" s="19">
        <f>SUM(C8*E8)</f>
        <v>3090000</v>
      </c>
      <c r="G8" s="16"/>
      <c r="J8" s="70"/>
    </row>
    <row r="9" ht="15.75" customHeight="1" spans="1:10">
      <c r="A9" s="15">
        <v>2</v>
      </c>
      <c r="B9" s="16" t="s">
        <v>108</v>
      </c>
      <c r="C9" s="17">
        <v>284</v>
      </c>
      <c r="D9" s="16" t="s">
        <v>13</v>
      </c>
      <c r="E9" s="18">
        <v>40000</v>
      </c>
      <c r="F9" s="19">
        <f t="shared" ref="F9:F27" si="0">SUM(C9*E9)</f>
        <v>11360000</v>
      </c>
      <c r="G9" s="16"/>
      <c r="J9" s="70"/>
    </row>
    <row r="10" ht="15.75" customHeight="1" spans="1:10">
      <c r="A10" s="15">
        <v>3</v>
      </c>
      <c r="B10" s="16" t="s">
        <v>80</v>
      </c>
      <c r="C10" s="17">
        <v>2839</v>
      </c>
      <c r="D10" s="16" t="s">
        <v>32</v>
      </c>
      <c r="E10" s="18">
        <v>600</v>
      </c>
      <c r="F10" s="19">
        <f t="shared" si="0"/>
        <v>1703400</v>
      </c>
      <c r="G10" s="16"/>
      <c r="J10" s="70"/>
    </row>
    <row r="11" ht="15.75" customHeight="1" spans="1:10">
      <c r="A11" s="15">
        <v>4</v>
      </c>
      <c r="B11" s="16" t="s">
        <v>109</v>
      </c>
      <c r="C11" s="17">
        <v>139</v>
      </c>
      <c r="D11" s="16" t="s">
        <v>13</v>
      </c>
      <c r="E11" s="18">
        <v>11000</v>
      </c>
      <c r="F11" s="19">
        <f t="shared" si="0"/>
        <v>1529000</v>
      </c>
      <c r="G11" s="16"/>
      <c r="J11" s="70"/>
    </row>
    <row r="12" ht="15.75" customHeight="1" spans="1:10">
      <c r="A12" s="15">
        <v>5</v>
      </c>
      <c r="B12" s="16" t="s">
        <v>17</v>
      </c>
      <c r="C12" s="17">
        <v>115</v>
      </c>
      <c r="D12" s="16" t="s">
        <v>13</v>
      </c>
      <c r="E12" s="18">
        <v>12000</v>
      </c>
      <c r="F12" s="19">
        <f t="shared" si="0"/>
        <v>1380000</v>
      </c>
      <c r="G12" s="16"/>
      <c r="J12" s="70"/>
    </row>
    <row r="13" ht="15.75" customHeight="1" spans="1:10">
      <c r="A13" s="15">
        <v>6</v>
      </c>
      <c r="B13" s="16" t="s">
        <v>110</v>
      </c>
      <c r="C13" s="71">
        <v>365</v>
      </c>
      <c r="D13" s="16" t="s">
        <v>13</v>
      </c>
      <c r="E13" s="18">
        <v>15000</v>
      </c>
      <c r="F13" s="19">
        <f t="shared" si="0"/>
        <v>5475000</v>
      </c>
      <c r="G13" s="16"/>
      <c r="J13" s="70"/>
    </row>
    <row r="14" ht="15.75" customHeight="1" spans="1:10">
      <c r="A14" s="15">
        <v>7</v>
      </c>
      <c r="B14" s="16" t="s">
        <v>19</v>
      </c>
      <c r="C14" s="71">
        <v>3</v>
      </c>
      <c r="D14" s="16" t="s">
        <v>20</v>
      </c>
      <c r="E14" s="18">
        <v>240000</v>
      </c>
      <c r="F14" s="19">
        <f t="shared" si="0"/>
        <v>720000</v>
      </c>
      <c r="G14" s="16"/>
      <c r="J14" s="70"/>
    </row>
    <row r="15" ht="15.75" customHeight="1" spans="1:10">
      <c r="A15" s="15">
        <v>8</v>
      </c>
      <c r="B15" s="16" t="s">
        <v>22</v>
      </c>
      <c r="C15" s="71">
        <v>4</v>
      </c>
      <c r="D15" s="16" t="s">
        <v>13</v>
      </c>
      <c r="E15" s="18">
        <v>40000</v>
      </c>
      <c r="F15" s="19">
        <f t="shared" si="0"/>
        <v>160000</v>
      </c>
      <c r="G15" s="16"/>
      <c r="J15" s="70"/>
    </row>
    <row r="16" ht="15.75" customHeight="1" spans="1:10">
      <c r="A16" s="15">
        <v>9</v>
      </c>
      <c r="B16" s="16" t="s">
        <v>21</v>
      </c>
      <c r="C16" s="72">
        <v>4</v>
      </c>
      <c r="D16" s="16" t="s">
        <v>13</v>
      </c>
      <c r="E16" s="18">
        <v>42000</v>
      </c>
      <c r="F16" s="19">
        <f t="shared" si="0"/>
        <v>168000</v>
      </c>
      <c r="G16" s="16"/>
      <c r="J16" s="70"/>
    </row>
    <row r="17" ht="15.75" customHeight="1" spans="1:10">
      <c r="A17" s="15">
        <v>10</v>
      </c>
      <c r="B17" s="16" t="s">
        <v>111</v>
      </c>
      <c r="C17" s="72">
        <v>1</v>
      </c>
      <c r="D17" s="16" t="s">
        <v>13</v>
      </c>
      <c r="E17" s="18">
        <v>34000</v>
      </c>
      <c r="F17" s="19">
        <f t="shared" si="0"/>
        <v>34000</v>
      </c>
      <c r="G17" s="16"/>
      <c r="J17" s="70"/>
    </row>
    <row r="18" ht="15.75" customHeight="1" spans="1:10">
      <c r="A18" s="15">
        <v>11</v>
      </c>
      <c r="B18" s="16" t="s">
        <v>112</v>
      </c>
      <c r="C18" s="71">
        <v>13</v>
      </c>
      <c r="D18" s="16" t="s">
        <v>13</v>
      </c>
      <c r="E18" s="18">
        <v>17000</v>
      </c>
      <c r="F18" s="19">
        <f t="shared" si="0"/>
        <v>221000</v>
      </c>
      <c r="G18" s="16"/>
    </row>
    <row r="19" ht="15.75" customHeight="1" spans="1:10">
      <c r="A19" s="15">
        <v>12</v>
      </c>
      <c r="B19" s="16" t="s">
        <v>113</v>
      </c>
      <c r="C19" s="72">
        <v>0.5</v>
      </c>
      <c r="D19" s="16" t="s">
        <v>13</v>
      </c>
      <c r="E19" s="18">
        <v>25000</v>
      </c>
      <c r="F19" s="19">
        <f t="shared" si="0"/>
        <v>12500</v>
      </c>
      <c r="G19" s="16"/>
    </row>
    <row r="20" ht="15.75" customHeight="1" spans="1:10">
      <c r="A20" s="15">
        <v>13</v>
      </c>
      <c r="B20" s="16" t="s">
        <v>114</v>
      </c>
      <c r="C20" s="71">
        <v>2</v>
      </c>
      <c r="D20" s="16" t="s">
        <v>13</v>
      </c>
      <c r="E20" s="18">
        <v>35000</v>
      </c>
      <c r="F20" s="19">
        <f t="shared" si="0"/>
        <v>70000</v>
      </c>
      <c r="G20" s="16"/>
    </row>
    <row r="21" ht="15.75" customHeight="1" spans="1:10">
      <c r="A21" s="15">
        <v>14</v>
      </c>
      <c r="B21" s="16" t="s">
        <v>86</v>
      </c>
      <c r="C21" s="71">
        <v>25</v>
      </c>
      <c r="D21" s="16" t="s">
        <v>13</v>
      </c>
      <c r="E21" s="18">
        <v>15000</v>
      </c>
      <c r="F21" s="19">
        <f t="shared" si="0"/>
        <v>375000</v>
      </c>
      <c r="G21" s="16"/>
    </row>
    <row r="22" ht="15.75" customHeight="1" spans="1:10">
      <c r="A22" s="15">
        <v>15</v>
      </c>
      <c r="B22" s="16" t="s">
        <v>79</v>
      </c>
      <c r="C22" s="71">
        <v>7</v>
      </c>
      <c r="D22" s="16" t="s">
        <v>13</v>
      </c>
      <c r="E22" s="18">
        <v>26000</v>
      </c>
      <c r="F22" s="19">
        <f t="shared" si="0"/>
        <v>182000</v>
      </c>
      <c r="G22" s="16"/>
    </row>
    <row r="23" ht="15.75" customHeight="1" spans="1:10">
      <c r="A23" s="15">
        <v>16</v>
      </c>
      <c r="B23" s="16" t="s">
        <v>31</v>
      </c>
      <c r="C23" s="71">
        <v>10</v>
      </c>
      <c r="D23" s="16" t="s">
        <v>32</v>
      </c>
      <c r="E23" s="18">
        <v>2000</v>
      </c>
      <c r="F23" s="19">
        <f t="shared" si="0"/>
        <v>20000</v>
      </c>
      <c r="G23" s="16"/>
    </row>
    <row r="24" ht="15.75" customHeight="1" spans="1:10">
      <c r="A24" s="15">
        <v>17</v>
      </c>
      <c r="B24" s="16" t="s">
        <v>34</v>
      </c>
      <c r="C24" s="71">
        <v>6</v>
      </c>
      <c r="D24" s="16" t="s">
        <v>32</v>
      </c>
      <c r="E24" s="18">
        <v>25000</v>
      </c>
      <c r="F24" s="19">
        <f t="shared" si="0"/>
        <v>150000</v>
      </c>
      <c r="G24" s="16"/>
    </row>
    <row r="25" ht="15.75" customHeight="1" spans="1:10">
      <c r="A25" s="15">
        <v>18</v>
      </c>
      <c r="B25" s="16" t="s">
        <v>92</v>
      </c>
      <c r="C25" s="71">
        <v>12</v>
      </c>
      <c r="D25" s="16" t="s">
        <v>89</v>
      </c>
      <c r="E25" s="18">
        <v>12000</v>
      </c>
      <c r="F25" s="19">
        <f t="shared" si="0"/>
        <v>144000</v>
      </c>
      <c r="G25" s="16"/>
    </row>
    <row r="26" ht="15.75" customHeight="1" spans="1:10">
      <c r="A26" s="15">
        <v>19</v>
      </c>
      <c r="B26" s="16" t="s">
        <v>35</v>
      </c>
      <c r="C26" s="71">
        <v>1</v>
      </c>
      <c r="D26" s="16" t="s">
        <v>13</v>
      </c>
      <c r="E26" s="18">
        <v>21000</v>
      </c>
      <c r="F26" s="19">
        <f t="shared" si="0"/>
        <v>21000</v>
      </c>
      <c r="G26" s="16"/>
    </row>
    <row r="27" ht="15.75" customHeight="1" spans="1:10">
      <c r="A27" s="15">
        <v>20</v>
      </c>
      <c r="B27" s="16" t="s">
        <v>36</v>
      </c>
      <c r="C27" s="71">
        <v>1</v>
      </c>
      <c r="D27" s="16" t="s">
        <v>93</v>
      </c>
      <c r="E27" s="18">
        <v>60000</v>
      </c>
      <c r="F27" s="19">
        <f t="shared" si="0"/>
        <v>60000</v>
      </c>
      <c r="G27" s="16"/>
    </row>
    <row r="28" ht="15.75" customHeight="1" spans="1:10">
      <c r="A28" s="39" t="s">
        <v>40</v>
      </c>
      <c r="B28" s="36"/>
      <c r="C28" s="36"/>
      <c r="D28" s="36"/>
      <c r="E28" s="37"/>
      <c r="F28" s="40">
        <f>SUM(F8:F27)</f>
        <v>26874900</v>
      </c>
      <c r="G28" s="34"/>
    </row>
    <row r="29" ht="15.75" customHeight="1" spans="1:10">
      <c r="A29" s="35" t="s">
        <v>41</v>
      </c>
      <c r="B29" s="36"/>
      <c r="C29" s="36"/>
      <c r="D29" s="36"/>
      <c r="E29" s="37"/>
      <c r="F29" s="38">
        <f>SUM(F34:F82)</f>
        <v>25274000</v>
      </c>
      <c r="G29" s="34"/>
    </row>
    <row r="30" ht="15.75" customHeight="1" spans="1:10">
      <c r="A30" s="39" t="s">
        <v>42</v>
      </c>
      <c r="B30" s="36"/>
      <c r="C30" s="36"/>
      <c r="D30" s="36"/>
      <c r="E30" s="37"/>
      <c r="F30" s="40">
        <f>SUM(F29-F28)</f>
        <v>-1600900</v>
      </c>
      <c r="G30" s="34"/>
    </row>
    <row r="31" ht="15.75" customHeight="1"/>
    <row r="32" ht="15.75" customHeight="1"/>
    <row r="33" ht="15.75" customHeight="1" spans="1:7">
      <c r="A33" s="41" t="s">
        <v>5</v>
      </c>
      <c r="B33" s="42" t="s">
        <v>43</v>
      </c>
      <c r="C33" s="43" t="s">
        <v>44</v>
      </c>
      <c r="D33" s="44" t="s">
        <v>45</v>
      </c>
      <c r="E33" s="43" t="s">
        <v>46</v>
      </c>
      <c r="F33" s="43" t="s">
        <v>10</v>
      </c>
    </row>
    <row r="34" ht="15.75" customHeight="1" spans="1:7">
      <c r="A34" s="45">
        <v>1</v>
      </c>
      <c r="B34" s="46" t="s">
        <v>47</v>
      </c>
      <c r="C34" s="47" t="s">
        <v>48</v>
      </c>
      <c r="D34" s="48">
        <v>123</v>
      </c>
      <c r="E34" s="49">
        <v>8000</v>
      </c>
      <c r="F34" s="49">
        <f>E34*D34</f>
        <v>984000</v>
      </c>
    </row>
    <row r="35" ht="15.75" customHeight="1" spans="1:7">
      <c r="A35" s="45"/>
      <c r="B35" s="46"/>
      <c r="C35" s="50" t="s">
        <v>49</v>
      </c>
      <c r="D35" s="48">
        <v>119</v>
      </c>
      <c r="E35" s="49">
        <v>10000</v>
      </c>
      <c r="F35" s="49">
        <f t="shared" ref="F35:F71" si="1">E35*D35</f>
        <v>1190000</v>
      </c>
      <c r="G35" s="51"/>
    </row>
    <row r="36" ht="15.75" customHeight="1" spans="1:7">
      <c r="A36" s="45">
        <v>2</v>
      </c>
      <c r="B36" s="46" t="s">
        <v>50</v>
      </c>
      <c r="C36" s="47" t="s">
        <v>48</v>
      </c>
      <c r="D36" s="47">
        <v>26</v>
      </c>
      <c r="E36" s="49">
        <v>8000</v>
      </c>
      <c r="F36" s="49">
        <f t="shared" si="1"/>
        <v>208000</v>
      </c>
    </row>
    <row r="37" ht="15.75" customHeight="1" spans="1:7">
      <c r="A37" s="45"/>
      <c r="B37" s="46"/>
      <c r="C37" s="50" t="s">
        <v>49</v>
      </c>
      <c r="D37" s="47">
        <v>6</v>
      </c>
      <c r="E37" s="49">
        <v>10000</v>
      </c>
      <c r="F37" s="49">
        <f t="shared" si="1"/>
        <v>60000</v>
      </c>
    </row>
    <row r="38" ht="15.75" customHeight="1" spans="1:7">
      <c r="A38" s="45">
        <v>3</v>
      </c>
      <c r="B38" s="46" t="s">
        <v>51</v>
      </c>
      <c r="C38" s="47" t="s">
        <v>48</v>
      </c>
      <c r="D38" s="47">
        <v>108</v>
      </c>
      <c r="E38" s="49">
        <v>8000</v>
      </c>
      <c r="F38" s="49">
        <f t="shared" si="1"/>
        <v>864000</v>
      </c>
    </row>
    <row r="39" ht="15.75" customHeight="1" spans="1:7">
      <c r="A39" s="45"/>
      <c r="B39" s="46"/>
      <c r="C39" s="50" t="s">
        <v>49</v>
      </c>
      <c r="D39" s="47">
        <v>86</v>
      </c>
      <c r="E39" s="49">
        <v>10000</v>
      </c>
      <c r="F39" s="49">
        <f t="shared" si="1"/>
        <v>860000</v>
      </c>
    </row>
    <row r="40" ht="15.75" customHeight="1" spans="1:7">
      <c r="A40" s="45">
        <v>4</v>
      </c>
      <c r="B40" s="52" t="s">
        <v>52</v>
      </c>
      <c r="C40" s="47" t="s">
        <v>48</v>
      </c>
      <c r="D40" s="47">
        <v>132</v>
      </c>
      <c r="E40" s="49">
        <v>8000</v>
      </c>
      <c r="F40" s="49">
        <f t="shared" si="1"/>
        <v>1056000</v>
      </c>
    </row>
    <row r="41" ht="15.75" customHeight="1" spans="1:7">
      <c r="A41" s="45"/>
      <c r="B41" s="46"/>
      <c r="C41" s="50" t="s">
        <v>49</v>
      </c>
      <c r="D41" s="47">
        <v>147</v>
      </c>
      <c r="E41" s="49">
        <v>10000</v>
      </c>
      <c r="F41" s="49">
        <f t="shared" si="1"/>
        <v>1470000</v>
      </c>
    </row>
    <row r="42" ht="15.75" customHeight="1" spans="1:7">
      <c r="A42" s="45">
        <v>5</v>
      </c>
      <c r="B42" s="46" t="s">
        <v>53</v>
      </c>
      <c r="C42" s="47" t="s">
        <v>48</v>
      </c>
      <c r="D42" s="47">
        <v>75</v>
      </c>
      <c r="E42" s="49">
        <v>8000</v>
      </c>
      <c r="F42" s="49">
        <f t="shared" si="1"/>
        <v>600000</v>
      </c>
    </row>
    <row r="43" ht="15.75" customHeight="1" spans="1:7">
      <c r="A43" s="45"/>
      <c r="B43" s="46"/>
      <c r="C43" s="50" t="s">
        <v>49</v>
      </c>
      <c r="D43" s="47">
        <v>105</v>
      </c>
      <c r="E43" s="49">
        <v>10000</v>
      </c>
      <c r="F43" s="49">
        <f t="shared" si="1"/>
        <v>1050000</v>
      </c>
    </row>
    <row r="44" ht="15.75" customHeight="1" spans="1:7">
      <c r="A44" s="45">
        <v>6</v>
      </c>
      <c r="B44" s="46" t="s">
        <v>54</v>
      </c>
      <c r="C44" s="47" t="s">
        <v>48</v>
      </c>
      <c r="D44" s="47">
        <v>49</v>
      </c>
      <c r="E44" s="49">
        <v>8000</v>
      </c>
      <c r="F44" s="49">
        <f t="shared" si="1"/>
        <v>392000</v>
      </c>
    </row>
    <row r="45" ht="15.75" customHeight="1" spans="1:7">
      <c r="A45" s="53"/>
      <c r="B45" s="54"/>
      <c r="C45" s="50" t="s">
        <v>49</v>
      </c>
      <c r="D45" s="47">
        <v>7</v>
      </c>
      <c r="E45" s="49">
        <v>10000</v>
      </c>
      <c r="F45" s="49">
        <f t="shared" si="1"/>
        <v>70000</v>
      </c>
    </row>
    <row r="46" ht="15.75" customHeight="1" spans="1:7">
      <c r="A46" s="55">
        <v>7</v>
      </c>
      <c r="B46" s="56" t="s">
        <v>55</v>
      </c>
      <c r="C46" s="55" t="s">
        <v>48</v>
      </c>
      <c r="D46" s="55">
        <v>28</v>
      </c>
      <c r="E46" s="57">
        <v>8000</v>
      </c>
      <c r="F46" s="57">
        <f t="shared" si="1"/>
        <v>224000</v>
      </c>
    </row>
    <row r="47" ht="15.75" customHeight="1" spans="1:7">
      <c r="A47" s="55"/>
      <c r="B47" s="56"/>
      <c r="C47" s="55" t="s">
        <v>49</v>
      </c>
      <c r="D47" s="55">
        <v>6</v>
      </c>
      <c r="E47" s="57">
        <v>10000</v>
      </c>
      <c r="F47" s="57">
        <f t="shared" si="1"/>
        <v>60000</v>
      </c>
    </row>
    <row r="48" ht="15.75" customHeight="1" spans="1:7">
      <c r="A48" s="58">
        <v>9</v>
      </c>
      <c r="B48" s="59" t="s">
        <v>56</v>
      </c>
      <c r="C48" s="47" t="s">
        <v>48</v>
      </c>
      <c r="D48" s="47">
        <v>13</v>
      </c>
      <c r="E48" s="49">
        <v>8000</v>
      </c>
      <c r="F48" s="49">
        <f t="shared" si="1"/>
        <v>104000</v>
      </c>
    </row>
    <row r="49" ht="15.75" customHeight="1" spans="1:6">
      <c r="A49" s="58"/>
      <c r="B49" s="59"/>
      <c r="C49" s="50" t="s">
        <v>49</v>
      </c>
      <c r="D49" s="47">
        <v>4</v>
      </c>
      <c r="E49" s="49">
        <v>10000</v>
      </c>
      <c r="F49" s="49">
        <f t="shared" si="1"/>
        <v>40000</v>
      </c>
    </row>
    <row r="50" ht="15.75" customHeight="1" spans="1:6">
      <c r="A50" s="58">
        <v>10</v>
      </c>
      <c r="B50" s="59" t="s">
        <v>57</v>
      </c>
      <c r="C50" s="47" t="s">
        <v>48</v>
      </c>
      <c r="D50" s="47">
        <v>40</v>
      </c>
      <c r="E50" s="49">
        <v>8000</v>
      </c>
      <c r="F50" s="49">
        <f t="shared" si="1"/>
        <v>320000</v>
      </c>
    </row>
    <row r="51" ht="15.75" customHeight="1" spans="1:6">
      <c r="A51" s="58"/>
      <c r="B51" s="59"/>
      <c r="C51" s="50" t="s">
        <v>49</v>
      </c>
      <c r="D51" s="47">
        <v>10</v>
      </c>
      <c r="E51" s="49">
        <v>10000</v>
      </c>
      <c r="F51" s="49">
        <f t="shared" si="1"/>
        <v>100000</v>
      </c>
    </row>
    <row r="52" ht="15.75" customHeight="1" spans="1:6">
      <c r="A52" s="58">
        <v>11</v>
      </c>
      <c r="B52" s="59" t="s">
        <v>58</v>
      </c>
      <c r="C52" s="47" t="s">
        <v>48</v>
      </c>
      <c r="D52" s="47">
        <v>79</v>
      </c>
      <c r="E52" s="49">
        <v>8000</v>
      </c>
      <c r="F52" s="49">
        <f t="shared" si="1"/>
        <v>632000</v>
      </c>
    </row>
    <row r="53" ht="15.75" customHeight="1" spans="1:6">
      <c r="A53" s="58"/>
      <c r="B53" s="59"/>
      <c r="C53" s="50" t="s">
        <v>49</v>
      </c>
      <c r="D53" s="47">
        <v>14</v>
      </c>
      <c r="E53" s="49">
        <v>10000</v>
      </c>
      <c r="F53" s="49">
        <f t="shared" si="1"/>
        <v>140000</v>
      </c>
    </row>
    <row r="54" ht="15.75" customHeight="1" spans="1:6">
      <c r="A54" s="58">
        <v>12</v>
      </c>
      <c r="B54" s="59" t="s">
        <v>59</v>
      </c>
      <c r="C54" s="47" t="s">
        <v>48</v>
      </c>
      <c r="D54" s="47">
        <v>42</v>
      </c>
      <c r="E54" s="49">
        <v>8000</v>
      </c>
      <c r="F54" s="49">
        <f t="shared" si="1"/>
        <v>336000</v>
      </c>
    </row>
    <row r="55" ht="15.75" customHeight="1" spans="1:6">
      <c r="A55" s="58"/>
      <c r="B55" s="59"/>
      <c r="C55" s="50" t="s">
        <v>49</v>
      </c>
      <c r="D55" s="47">
        <v>7</v>
      </c>
      <c r="E55" s="49">
        <v>10000</v>
      </c>
      <c r="F55" s="49">
        <f t="shared" si="1"/>
        <v>70000</v>
      </c>
    </row>
    <row r="56" ht="15.75" customHeight="1" spans="1:6">
      <c r="A56" s="60">
        <v>13</v>
      </c>
      <c r="B56" s="61" t="s">
        <v>60</v>
      </c>
      <c r="C56" s="55" t="s">
        <v>48</v>
      </c>
      <c r="D56" s="55">
        <v>23</v>
      </c>
      <c r="E56" s="57">
        <v>8000</v>
      </c>
      <c r="F56" s="57">
        <f t="shared" si="1"/>
        <v>184000</v>
      </c>
    </row>
    <row r="57" ht="15.75" customHeight="1" spans="1:6">
      <c r="A57" s="60"/>
      <c r="B57" s="61"/>
      <c r="C57" s="55" t="s">
        <v>49</v>
      </c>
      <c r="D57" s="55">
        <v>3</v>
      </c>
      <c r="E57" s="57">
        <v>10000</v>
      </c>
      <c r="F57" s="57">
        <f t="shared" si="1"/>
        <v>30000</v>
      </c>
    </row>
    <row r="58" ht="15.75" customHeight="1" spans="1:6">
      <c r="A58" s="58">
        <v>14</v>
      </c>
      <c r="B58" s="59" t="s">
        <v>61</v>
      </c>
      <c r="C58" s="47" t="s">
        <v>48</v>
      </c>
      <c r="D58" s="47">
        <v>16</v>
      </c>
      <c r="E58" s="49">
        <v>8000</v>
      </c>
      <c r="F58" s="49">
        <f t="shared" si="1"/>
        <v>128000</v>
      </c>
    </row>
    <row r="59" ht="15.75" customHeight="1" spans="1:6">
      <c r="A59" s="58"/>
      <c r="B59" s="59"/>
      <c r="C59" s="50" t="s">
        <v>49</v>
      </c>
      <c r="D59" s="47">
        <v>4</v>
      </c>
      <c r="E59" s="49">
        <v>10000</v>
      </c>
      <c r="F59" s="49">
        <f t="shared" si="1"/>
        <v>40000</v>
      </c>
    </row>
    <row r="60" ht="15.75" customHeight="1" spans="1:6">
      <c r="A60" s="58">
        <v>15</v>
      </c>
      <c r="B60" s="59" t="s">
        <v>62</v>
      </c>
      <c r="C60" s="47" t="s">
        <v>48</v>
      </c>
      <c r="D60" s="58"/>
      <c r="E60" s="49">
        <v>8000</v>
      </c>
      <c r="F60" s="49">
        <f t="shared" si="1"/>
        <v>0</v>
      </c>
    </row>
    <row r="61" ht="15.75" customHeight="1" spans="1:6">
      <c r="A61" s="58"/>
      <c r="B61" s="59"/>
      <c r="C61" s="50" t="s">
        <v>49</v>
      </c>
      <c r="D61" s="58">
        <v>55</v>
      </c>
      <c r="E61" s="49">
        <v>10000</v>
      </c>
      <c r="F61" s="49">
        <f t="shared" si="1"/>
        <v>550000</v>
      </c>
    </row>
    <row r="62" ht="15.75" customHeight="1" spans="1:6">
      <c r="A62" s="58">
        <v>16</v>
      </c>
      <c r="B62" s="58" t="s">
        <v>63</v>
      </c>
      <c r="C62" s="47" t="s">
        <v>48</v>
      </c>
      <c r="D62" s="58">
        <v>327</v>
      </c>
      <c r="E62" s="49">
        <v>8000</v>
      </c>
      <c r="F62" s="49">
        <f t="shared" si="1"/>
        <v>2616000</v>
      </c>
    </row>
    <row r="63" ht="15.75" customHeight="1" spans="1:6">
      <c r="A63" s="58"/>
      <c r="B63" s="58"/>
      <c r="C63" s="50" t="s">
        <v>49</v>
      </c>
      <c r="D63" s="58">
        <v>402</v>
      </c>
      <c r="E63" s="49">
        <v>10000</v>
      </c>
      <c r="F63" s="49">
        <f t="shared" si="1"/>
        <v>4020000</v>
      </c>
    </row>
    <row r="64" ht="15.75" customHeight="1" spans="1:6">
      <c r="A64" s="58">
        <v>17</v>
      </c>
      <c r="B64" s="58" t="s">
        <v>64</v>
      </c>
      <c r="C64" s="47" t="s">
        <v>48</v>
      </c>
      <c r="D64" s="58">
        <v>109</v>
      </c>
      <c r="E64" s="49">
        <v>8000</v>
      </c>
      <c r="F64" s="49">
        <f t="shared" si="1"/>
        <v>872000</v>
      </c>
    </row>
    <row r="65" ht="15.75" customHeight="1" spans="1:7">
      <c r="A65" s="58"/>
      <c r="B65" s="58"/>
      <c r="C65" s="50" t="s">
        <v>49</v>
      </c>
      <c r="D65" s="58">
        <v>126</v>
      </c>
      <c r="E65" s="49">
        <v>10000</v>
      </c>
      <c r="F65" s="49">
        <f t="shared" si="1"/>
        <v>1260000</v>
      </c>
    </row>
    <row r="66" ht="15.75" customHeight="1" spans="1:7">
      <c r="A66" s="58">
        <v>18</v>
      </c>
      <c r="B66" s="58" t="s">
        <v>65</v>
      </c>
      <c r="C66" s="47" t="s">
        <v>48</v>
      </c>
      <c r="D66" s="58">
        <v>42</v>
      </c>
      <c r="E66" s="49">
        <v>8000</v>
      </c>
      <c r="F66" s="49">
        <f t="shared" si="1"/>
        <v>336000</v>
      </c>
    </row>
    <row r="67" ht="15.75" customHeight="1" spans="1:7">
      <c r="A67" s="58"/>
      <c r="B67" s="58"/>
      <c r="C67" s="50" t="s">
        <v>49</v>
      </c>
      <c r="D67" s="58">
        <v>9</v>
      </c>
      <c r="E67" s="49">
        <v>10000</v>
      </c>
      <c r="F67" s="49">
        <f t="shared" si="1"/>
        <v>90000</v>
      </c>
    </row>
    <row r="68" ht="15.75" customHeight="1" spans="1:7">
      <c r="A68" s="58">
        <v>19</v>
      </c>
      <c r="B68" s="58" t="s">
        <v>66</v>
      </c>
      <c r="C68" s="47" t="s">
        <v>48</v>
      </c>
      <c r="D68" s="58">
        <v>22</v>
      </c>
      <c r="E68" s="49">
        <v>8000</v>
      </c>
      <c r="F68" s="49">
        <f t="shared" si="1"/>
        <v>176000</v>
      </c>
    </row>
    <row r="69" ht="15.75" customHeight="1" spans="1:7">
      <c r="A69" s="58"/>
      <c r="B69" s="58"/>
      <c r="C69" s="50" t="s">
        <v>49</v>
      </c>
      <c r="D69" s="58">
        <v>7</v>
      </c>
      <c r="E69" s="49">
        <v>10000</v>
      </c>
      <c r="F69" s="49">
        <f t="shared" si="1"/>
        <v>70000</v>
      </c>
    </row>
    <row r="70" ht="15.75" customHeight="1" spans="1:7">
      <c r="A70" s="58">
        <v>20</v>
      </c>
      <c r="B70" s="58" t="s">
        <v>67</v>
      </c>
      <c r="C70" s="47" t="s">
        <v>48</v>
      </c>
      <c r="D70" s="58">
        <v>52</v>
      </c>
      <c r="E70" s="49">
        <v>8000</v>
      </c>
      <c r="F70" s="49">
        <f t="shared" si="1"/>
        <v>416000</v>
      </c>
    </row>
    <row r="71" ht="15.75" customHeight="1" spans="1:7">
      <c r="A71" s="58"/>
      <c r="B71" s="58"/>
      <c r="C71" s="50" t="s">
        <v>49</v>
      </c>
      <c r="D71" s="58">
        <v>8</v>
      </c>
      <c r="E71" s="49">
        <v>10000</v>
      </c>
      <c r="F71" s="49">
        <f t="shared" si="1"/>
        <v>80000</v>
      </c>
    </row>
    <row r="72" ht="15.75" customHeight="1" spans="1:7">
      <c r="A72" s="62">
        <v>20</v>
      </c>
      <c r="B72" s="62" t="s">
        <v>68</v>
      </c>
      <c r="C72" s="47" t="s">
        <v>48</v>
      </c>
      <c r="D72" s="62">
        <v>43</v>
      </c>
      <c r="E72" s="49">
        <v>8000</v>
      </c>
      <c r="F72" s="49">
        <f t="shared" ref="F72:F73" si="2">E72*D72</f>
        <v>344000</v>
      </c>
    </row>
    <row r="73" ht="15.75" customHeight="1" spans="1:7">
      <c r="A73" s="62"/>
      <c r="B73" s="62"/>
      <c r="C73" s="50" t="s">
        <v>49</v>
      </c>
      <c r="D73" s="62">
        <v>3</v>
      </c>
      <c r="E73" s="49">
        <v>10000</v>
      </c>
      <c r="F73" s="49">
        <f t="shared" si="2"/>
        <v>30000</v>
      </c>
    </row>
    <row r="74" ht="15.75" customHeight="1" spans="1:7">
      <c r="A74" s="5"/>
      <c r="B74" s="5" t="s">
        <v>69</v>
      </c>
      <c r="C74" s="63" t="s">
        <v>70</v>
      </c>
      <c r="D74" s="5">
        <v>70</v>
      </c>
      <c r="E74" s="64">
        <v>8000</v>
      </c>
      <c r="F74" s="64">
        <f>SUM(D74*E74)</f>
        <v>560000</v>
      </c>
      <c r="G74" s="65" t="s">
        <v>71</v>
      </c>
    </row>
    <row r="75" ht="15.75" customHeight="1" spans="1:7">
      <c r="A75" s="5"/>
      <c r="B75" s="5"/>
      <c r="C75" s="63" t="s">
        <v>72</v>
      </c>
      <c r="D75" s="5">
        <v>54</v>
      </c>
      <c r="E75" s="64">
        <v>10000</v>
      </c>
      <c r="F75" s="64">
        <f t="shared" ref="F75:F81" si="3">SUM(D75*E75)</f>
        <v>540000</v>
      </c>
      <c r="G75" s="65"/>
    </row>
    <row r="76" ht="15.75" customHeight="1" spans="1:7">
      <c r="A76" s="5"/>
      <c r="B76" s="5" t="s">
        <v>73</v>
      </c>
      <c r="C76" s="63" t="s">
        <v>74</v>
      </c>
      <c r="D76" s="5">
        <v>32</v>
      </c>
      <c r="E76" s="64">
        <v>8000</v>
      </c>
      <c r="F76" s="64">
        <f t="shared" si="3"/>
        <v>256000</v>
      </c>
      <c r="G76" s="65"/>
    </row>
    <row r="77" ht="15.75" customHeight="1" spans="1:7">
      <c r="A77" s="5"/>
      <c r="B77" s="5"/>
      <c r="C77" s="63" t="s">
        <v>72</v>
      </c>
      <c r="D77" s="5">
        <v>31</v>
      </c>
      <c r="E77" s="64">
        <v>10000</v>
      </c>
      <c r="F77" s="64">
        <f t="shared" si="3"/>
        <v>310000</v>
      </c>
      <c r="G77" s="65"/>
    </row>
    <row r="78" ht="15.75" customHeight="1" spans="1:7">
      <c r="A78" s="5"/>
      <c r="B78" s="5" t="s">
        <v>75</v>
      </c>
      <c r="C78" s="63" t="s">
        <v>74</v>
      </c>
      <c r="D78" s="5">
        <v>59</v>
      </c>
      <c r="E78" s="64">
        <v>8000</v>
      </c>
      <c r="F78" s="64">
        <f t="shared" si="3"/>
        <v>472000</v>
      </c>
      <c r="G78" s="65"/>
    </row>
    <row r="79" ht="15.75" customHeight="1" spans="1:7">
      <c r="A79" s="5"/>
      <c r="B79" s="5"/>
      <c r="C79" s="63" t="s">
        <v>72</v>
      </c>
      <c r="D79" s="5">
        <v>30</v>
      </c>
      <c r="E79" s="64">
        <v>10000</v>
      </c>
      <c r="F79" s="64">
        <f t="shared" si="3"/>
        <v>300000</v>
      </c>
      <c r="G79" s="65"/>
    </row>
    <row r="80" ht="15.75" customHeight="1" spans="1:7">
      <c r="A80" s="5"/>
      <c r="B80" s="5" t="s">
        <v>76</v>
      </c>
      <c r="C80" s="63" t="s">
        <v>74</v>
      </c>
      <c r="D80" s="5">
        <v>48</v>
      </c>
      <c r="E80" s="64">
        <v>8000</v>
      </c>
      <c r="F80" s="64">
        <f t="shared" si="3"/>
        <v>384000</v>
      </c>
      <c r="G80" s="65"/>
    </row>
    <row r="81" ht="15.75" customHeight="1" spans="1:7">
      <c r="A81" s="5"/>
      <c r="B81" s="5"/>
      <c r="C81" s="63" t="s">
        <v>72</v>
      </c>
      <c r="D81" s="5">
        <v>38</v>
      </c>
      <c r="E81" s="64">
        <v>10000</v>
      </c>
      <c r="F81" s="64">
        <f t="shared" si="3"/>
        <v>380000</v>
      </c>
      <c r="G81" s="66"/>
    </row>
    <row r="82" ht="15.75" customHeight="1" spans="1:7">
      <c r="A82" s="62"/>
      <c r="B82" s="62"/>
      <c r="C82" s="67"/>
      <c r="D82" s="62"/>
      <c r="E82" s="68"/>
      <c r="F82" s="68"/>
    </row>
    <row r="83" ht="15.75" customHeight="1" spans="1:7">
      <c r="A83" s="62"/>
      <c r="B83" s="62"/>
      <c r="C83" s="67"/>
      <c r="D83" s="62"/>
      <c r="E83" s="68"/>
      <c r="F83" s="68"/>
    </row>
    <row r="84" ht="15.75" customHeight="1" spans="1:7">
      <c r="A84" s="62"/>
      <c r="B84" s="62"/>
      <c r="C84" s="67"/>
      <c r="D84" s="62">
        <f>SUM(D34:D81)</f>
        <v>2839</v>
      </c>
      <c r="E84" s="68"/>
      <c r="F84" s="69">
        <f>SUM(F34:F81)</f>
        <v>25274000</v>
      </c>
    </row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</sheetData>
  <mergeCells count="9">
    <mergeCell ref="A2:G2"/>
    <mergeCell ref="A3:G3"/>
    <mergeCell ref="A4:G4"/>
    <mergeCell ref="A5:G5"/>
    <mergeCell ref="A6:G6"/>
    <mergeCell ref="A28:E28"/>
    <mergeCell ref="A29:E29"/>
    <mergeCell ref="A30:E30"/>
    <mergeCell ref="G74:G80"/>
  </mergeCell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G78"/>
  <sheetViews>
    <sheetView topLeftCell="A5" workbookViewId="0">
      <selection activeCell="D26" sqref="D26"/>
    </sheetView>
  </sheetViews>
  <sheetFormatPr defaultColWidth="8.8359375" defaultRowHeight="16.8" outlineLevelCol="6"/>
  <cols>
    <col min="1" max="1" width="4" customWidth="1"/>
    <col min="2" max="2" width="22.5" customWidth="1"/>
    <col min="3" max="3" width="15.1640625" customWidth="1"/>
    <col min="4" max="4" width="21" customWidth="1"/>
    <col min="5" max="5" width="15.1640625" customWidth="1"/>
    <col min="6" max="6" width="17" customWidth="1"/>
    <col min="7" max="7" width="19.5" customWidth="1"/>
  </cols>
  <sheetData>
    <row r="2" ht="20.4" spans="1:7">
      <c r="A2" s="8" t="s">
        <v>0</v>
      </c>
      <c r="B2" s="9"/>
      <c r="C2" s="9"/>
      <c r="D2" s="9"/>
      <c r="E2" s="9"/>
      <c r="F2" s="9"/>
      <c r="G2" s="9"/>
    </row>
    <row r="3" ht="17.6" spans="1:7">
      <c r="A3" s="10" t="s">
        <v>1</v>
      </c>
      <c r="B3" s="9"/>
      <c r="C3" s="9"/>
      <c r="D3" s="9"/>
      <c r="E3" s="9"/>
      <c r="F3" s="9"/>
      <c r="G3" s="9"/>
    </row>
    <row r="4" ht="17.6" spans="1:7">
      <c r="A4" s="10" t="s">
        <v>2</v>
      </c>
      <c r="B4" s="9"/>
      <c r="C4" s="9"/>
      <c r="D4" s="9"/>
      <c r="E4" s="9"/>
      <c r="F4" s="9"/>
      <c r="G4" s="9"/>
    </row>
    <row r="5" spans="1:7">
      <c r="A5" s="11" t="s">
        <v>115</v>
      </c>
      <c r="B5" s="11"/>
      <c r="C5" s="11"/>
      <c r="D5" s="11"/>
      <c r="E5" s="11"/>
      <c r="F5" s="11"/>
      <c r="G5" s="11"/>
    </row>
    <row r="6" ht="17.6" spans="1:7">
      <c r="A6" s="12" t="s">
        <v>116</v>
      </c>
      <c r="B6" s="13"/>
      <c r="C6" s="13"/>
      <c r="D6" s="13"/>
      <c r="E6" s="13"/>
      <c r="F6" s="13"/>
      <c r="G6" s="13"/>
    </row>
    <row r="7" spans="1:7">
      <c r="A7" s="14" t="s">
        <v>5</v>
      </c>
      <c r="B7" s="14" t="s">
        <v>6</v>
      </c>
      <c r="C7" s="14" t="s">
        <v>7</v>
      </c>
      <c r="D7" s="14" t="s">
        <v>8</v>
      </c>
      <c r="E7" s="14" t="s">
        <v>9</v>
      </c>
      <c r="F7" s="14" t="s">
        <v>10</v>
      </c>
      <c r="G7" s="14" t="s">
        <v>11</v>
      </c>
    </row>
    <row r="8" spans="1:7">
      <c r="A8" s="15">
        <v>1</v>
      </c>
      <c r="B8" s="16" t="s">
        <v>117</v>
      </c>
      <c r="C8" s="17">
        <v>2839</v>
      </c>
      <c r="D8" s="16" t="s">
        <v>32</v>
      </c>
      <c r="E8" s="18">
        <v>1700</v>
      </c>
      <c r="F8" s="19">
        <f>SUM(C8*E8)</f>
        <v>4826300</v>
      </c>
      <c r="G8" s="16"/>
    </row>
    <row r="9" spans="1:7">
      <c r="A9" s="15">
        <v>2</v>
      </c>
      <c r="B9" s="16" t="s">
        <v>118</v>
      </c>
      <c r="C9" s="17">
        <v>224</v>
      </c>
      <c r="D9" s="16" t="s">
        <v>13</v>
      </c>
      <c r="E9" s="18">
        <v>27000</v>
      </c>
      <c r="F9" s="19">
        <f t="shared" ref="F9:F21" si="0">SUM(C9*E9)</f>
        <v>6048000</v>
      </c>
      <c r="G9" s="16"/>
    </row>
    <row r="10" spans="1:7">
      <c r="A10" s="15">
        <v>3</v>
      </c>
      <c r="B10" s="16" t="s">
        <v>119</v>
      </c>
      <c r="C10" s="17">
        <v>198</v>
      </c>
      <c r="D10" s="16" t="s">
        <v>13</v>
      </c>
      <c r="E10" s="18">
        <v>12000</v>
      </c>
      <c r="F10" s="19">
        <f t="shared" si="0"/>
        <v>2376000</v>
      </c>
      <c r="G10" s="16"/>
    </row>
    <row r="11" spans="1:7">
      <c r="A11" s="15">
        <v>4</v>
      </c>
      <c r="B11" s="16" t="s">
        <v>97</v>
      </c>
      <c r="C11" s="17">
        <v>2839</v>
      </c>
      <c r="D11" s="16" t="s">
        <v>32</v>
      </c>
      <c r="E11" s="18">
        <v>1700</v>
      </c>
      <c r="F11" s="19">
        <f t="shared" si="0"/>
        <v>4826300</v>
      </c>
      <c r="G11" s="16"/>
    </row>
    <row r="12" spans="1:7">
      <c r="A12" s="15">
        <v>5</v>
      </c>
      <c r="B12" s="16" t="s">
        <v>120</v>
      </c>
      <c r="C12" s="17">
        <v>2839</v>
      </c>
      <c r="D12" s="16" t="s">
        <v>121</v>
      </c>
      <c r="E12" s="18">
        <v>1500</v>
      </c>
      <c r="F12" s="19">
        <f t="shared" si="0"/>
        <v>4258500</v>
      </c>
      <c r="G12" s="16"/>
    </row>
    <row r="13" spans="1:7">
      <c r="A13" s="15">
        <v>6</v>
      </c>
      <c r="B13" s="16" t="s">
        <v>19</v>
      </c>
      <c r="C13" s="17">
        <v>1</v>
      </c>
      <c r="D13" s="16" t="s">
        <v>20</v>
      </c>
      <c r="E13" s="18">
        <v>240000</v>
      </c>
      <c r="F13" s="19">
        <f t="shared" si="0"/>
        <v>240000</v>
      </c>
      <c r="G13" s="16"/>
    </row>
    <row r="14" spans="1:7">
      <c r="A14" s="15">
        <v>7</v>
      </c>
      <c r="B14" s="16" t="s">
        <v>21</v>
      </c>
      <c r="C14" s="17">
        <v>1.5</v>
      </c>
      <c r="D14" s="16" t="s">
        <v>13</v>
      </c>
      <c r="E14" s="18">
        <v>42000</v>
      </c>
      <c r="F14" s="19">
        <f t="shared" si="0"/>
        <v>63000</v>
      </c>
      <c r="G14" s="16"/>
    </row>
    <row r="15" spans="1:7">
      <c r="A15" s="20">
        <v>8</v>
      </c>
      <c r="B15" s="21" t="s">
        <v>22</v>
      </c>
      <c r="C15" s="22">
        <v>1</v>
      </c>
      <c r="D15" s="21" t="s">
        <v>13</v>
      </c>
      <c r="E15" s="23">
        <v>40000</v>
      </c>
      <c r="F15" s="19">
        <f t="shared" si="0"/>
        <v>40000</v>
      </c>
      <c r="G15" s="16"/>
    </row>
    <row r="16" spans="1:7">
      <c r="A16" s="20">
        <v>9</v>
      </c>
      <c r="B16" s="21" t="s">
        <v>31</v>
      </c>
      <c r="C16" s="22">
        <v>8</v>
      </c>
      <c r="D16" s="21" t="s">
        <v>32</v>
      </c>
      <c r="E16" s="23">
        <v>2000</v>
      </c>
      <c r="F16" s="19">
        <f t="shared" si="0"/>
        <v>16000</v>
      </c>
      <c r="G16" s="16"/>
    </row>
    <row r="17" spans="1:7">
      <c r="A17" s="24">
        <v>10</v>
      </c>
      <c r="B17" s="25" t="s">
        <v>34</v>
      </c>
      <c r="C17" s="26">
        <v>3</v>
      </c>
      <c r="D17" s="25" t="s">
        <v>32</v>
      </c>
      <c r="E17" s="27">
        <v>25000</v>
      </c>
      <c r="F17" s="19">
        <f t="shared" si="0"/>
        <v>75000</v>
      </c>
      <c r="G17" s="28"/>
    </row>
    <row r="18" spans="1:7">
      <c r="A18" s="24">
        <v>11</v>
      </c>
      <c r="B18" s="25" t="s">
        <v>92</v>
      </c>
      <c r="C18" s="29">
        <v>1</v>
      </c>
      <c r="D18" s="25" t="s">
        <v>89</v>
      </c>
      <c r="E18" s="27">
        <v>12000</v>
      </c>
      <c r="F18" s="19">
        <f t="shared" si="0"/>
        <v>12000</v>
      </c>
      <c r="G18" s="28"/>
    </row>
    <row r="19" spans="1:7">
      <c r="A19" s="24">
        <v>12</v>
      </c>
      <c r="B19" s="25" t="s">
        <v>36</v>
      </c>
      <c r="C19" s="29">
        <v>1</v>
      </c>
      <c r="D19" s="25" t="s">
        <v>37</v>
      </c>
      <c r="E19" s="27">
        <v>60000</v>
      </c>
      <c r="F19" s="19">
        <f t="shared" si="0"/>
        <v>60000</v>
      </c>
      <c r="G19" s="28"/>
    </row>
    <row r="20" spans="1:7">
      <c r="A20" s="24">
        <v>13</v>
      </c>
      <c r="B20" s="25" t="s">
        <v>122</v>
      </c>
      <c r="C20" s="29">
        <v>6</v>
      </c>
      <c r="D20" s="25" t="s">
        <v>13</v>
      </c>
      <c r="E20" s="27">
        <v>34000</v>
      </c>
      <c r="F20" s="19">
        <f t="shared" si="0"/>
        <v>204000</v>
      </c>
      <c r="G20" s="28"/>
    </row>
    <row r="21" spans="1:7">
      <c r="A21" s="24">
        <v>14</v>
      </c>
      <c r="B21" s="25" t="s">
        <v>112</v>
      </c>
      <c r="C21" s="29">
        <v>13</v>
      </c>
      <c r="D21" s="25" t="s">
        <v>13</v>
      </c>
      <c r="E21" s="27">
        <v>17000</v>
      </c>
      <c r="F21" s="19">
        <f t="shared" si="0"/>
        <v>221000</v>
      </c>
      <c r="G21" s="28"/>
    </row>
    <row r="22" spans="1:7">
      <c r="A22" s="30" t="s">
        <v>40</v>
      </c>
      <c r="B22" s="31"/>
      <c r="C22" s="31"/>
      <c r="D22" s="31"/>
      <c r="E22" s="32"/>
      <c r="F22" s="33">
        <f>SUM(F8:F21)</f>
        <v>23266100</v>
      </c>
      <c r="G22" s="34"/>
    </row>
    <row r="23" spans="1:7">
      <c r="A23" s="35" t="s">
        <v>41</v>
      </c>
      <c r="B23" s="36"/>
      <c r="C23" s="36"/>
      <c r="D23" s="36"/>
      <c r="E23" s="37"/>
      <c r="F23" s="38">
        <f>SUM(F28:F76)</f>
        <v>25274000</v>
      </c>
      <c r="G23" s="34"/>
    </row>
    <row r="24" spans="1:7">
      <c r="A24" s="39" t="s">
        <v>42</v>
      </c>
      <c r="B24" s="36"/>
      <c r="C24" s="36"/>
      <c r="D24" s="36"/>
      <c r="E24" s="37"/>
      <c r="F24" s="40">
        <f>SUM(F23-F22)</f>
        <v>2007900</v>
      </c>
      <c r="G24" s="34"/>
    </row>
    <row r="27" spans="1:7">
      <c r="A27" s="41" t="s">
        <v>5</v>
      </c>
      <c r="B27" s="42" t="s">
        <v>43</v>
      </c>
      <c r="C27" s="43" t="s">
        <v>44</v>
      </c>
      <c r="D27" s="44" t="s">
        <v>45</v>
      </c>
      <c r="E27" s="43" t="s">
        <v>46</v>
      </c>
      <c r="F27" s="43" t="s">
        <v>10</v>
      </c>
    </row>
    <row r="28" spans="1:7">
      <c r="A28" s="45">
        <v>1</v>
      </c>
      <c r="B28" s="46" t="s">
        <v>47</v>
      </c>
      <c r="C28" s="47" t="s">
        <v>48</v>
      </c>
      <c r="D28" s="48">
        <v>123</v>
      </c>
      <c r="E28" s="49">
        <v>8000</v>
      </c>
      <c r="F28" s="49">
        <f>E28*D28</f>
        <v>984000</v>
      </c>
    </row>
    <row r="29" spans="1:7">
      <c r="A29" s="45"/>
      <c r="B29" s="46"/>
      <c r="C29" s="50" t="s">
        <v>49</v>
      </c>
      <c r="D29" s="48">
        <v>119</v>
      </c>
      <c r="E29" s="49">
        <v>10000</v>
      </c>
      <c r="F29" s="49">
        <f t="shared" ref="F29:F65" si="1">E29*D29</f>
        <v>1190000</v>
      </c>
      <c r="G29" s="51"/>
    </row>
    <row r="30" spans="1:7">
      <c r="A30" s="45">
        <v>2</v>
      </c>
      <c r="B30" s="46" t="s">
        <v>50</v>
      </c>
      <c r="C30" s="47" t="s">
        <v>48</v>
      </c>
      <c r="D30" s="47">
        <v>26</v>
      </c>
      <c r="E30" s="49">
        <v>8000</v>
      </c>
      <c r="F30" s="49">
        <f t="shared" si="1"/>
        <v>208000</v>
      </c>
    </row>
    <row r="31" spans="1:7">
      <c r="A31" s="45"/>
      <c r="B31" s="46"/>
      <c r="C31" s="50" t="s">
        <v>49</v>
      </c>
      <c r="D31" s="47">
        <v>6</v>
      </c>
      <c r="E31" s="49">
        <v>10000</v>
      </c>
      <c r="F31" s="49">
        <f t="shared" si="1"/>
        <v>60000</v>
      </c>
    </row>
    <row r="32" spans="1:7">
      <c r="A32" s="45">
        <v>3</v>
      </c>
      <c r="B32" s="46" t="s">
        <v>51</v>
      </c>
      <c r="C32" s="47" t="s">
        <v>48</v>
      </c>
      <c r="D32" s="47">
        <v>108</v>
      </c>
      <c r="E32" s="49">
        <v>8000</v>
      </c>
      <c r="F32" s="49">
        <f t="shared" si="1"/>
        <v>864000</v>
      </c>
    </row>
    <row r="33" spans="1:6">
      <c r="A33" s="45"/>
      <c r="B33" s="46"/>
      <c r="C33" s="50" t="s">
        <v>49</v>
      </c>
      <c r="D33" s="47">
        <v>86</v>
      </c>
      <c r="E33" s="49">
        <v>10000</v>
      </c>
      <c r="F33" s="49">
        <f t="shared" si="1"/>
        <v>860000</v>
      </c>
    </row>
    <row r="34" spans="1:6">
      <c r="A34" s="45">
        <v>4</v>
      </c>
      <c r="B34" s="52" t="s">
        <v>52</v>
      </c>
      <c r="C34" s="47" t="s">
        <v>48</v>
      </c>
      <c r="D34" s="47">
        <v>132</v>
      </c>
      <c r="E34" s="49">
        <v>8000</v>
      </c>
      <c r="F34" s="49">
        <f t="shared" si="1"/>
        <v>1056000</v>
      </c>
    </row>
    <row r="35" spans="1:6">
      <c r="A35" s="45"/>
      <c r="B35" s="46"/>
      <c r="C35" s="50" t="s">
        <v>49</v>
      </c>
      <c r="D35" s="47">
        <v>147</v>
      </c>
      <c r="E35" s="49">
        <v>10000</v>
      </c>
      <c r="F35" s="49">
        <f t="shared" si="1"/>
        <v>1470000</v>
      </c>
    </row>
    <row r="36" spans="1:6">
      <c r="A36" s="45">
        <v>5</v>
      </c>
      <c r="B36" s="46" t="s">
        <v>53</v>
      </c>
      <c r="C36" s="47" t="s">
        <v>48</v>
      </c>
      <c r="D36" s="47">
        <v>75</v>
      </c>
      <c r="E36" s="49">
        <v>8000</v>
      </c>
      <c r="F36" s="49">
        <f t="shared" si="1"/>
        <v>600000</v>
      </c>
    </row>
    <row r="37" spans="1:6">
      <c r="A37" s="45"/>
      <c r="B37" s="46"/>
      <c r="C37" s="50" t="s">
        <v>49</v>
      </c>
      <c r="D37" s="47">
        <v>105</v>
      </c>
      <c r="E37" s="49">
        <v>10000</v>
      </c>
      <c r="F37" s="49">
        <f t="shared" si="1"/>
        <v>1050000</v>
      </c>
    </row>
    <row r="38" spans="1:6">
      <c r="A38" s="45">
        <v>6</v>
      </c>
      <c r="B38" s="46" t="s">
        <v>54</v>
      </c>
      <c r="C38" s="47" t="s">
        <v>48</v>
      </c>
      <c r="D38" s="47">
        <v>49</v>
      </c>
      <c r="E38" s="49">
        <v>8000</v>
      </c>
      <c r="F38" s="49">
        <f t="shared" si="1"/>
        <v>392000</v>
      </c>
    </row>
    <row r="39" spans="1:6">
      <c r="A39" s="53"/>
      <c r="B39" s="54"/>
      <c r="C39" s="50" t="s">
        <v>49</v>
      </c>
      <c r="D39" s="47">
        <v>7</v>
      </c>
      <c r="E39" s="49">
        <v>10000</v>
      </c>
      <c r="F39" s="49">
        <f t="shared" si="1"/>
        <v>70000</v>
      </c>
    </row>
    <row r="40" spans="1:6">
      <c r="A40" s="55">
        <v>7</v>
      </c>
      <c r="B40" s="56" t="s">
        <v>55</v>
      </c>
      <c r="C40" s="55" t="s">
        <v>48</v>
      </c>
      <c r="D40" s="55">
        <v>28</v>
      </c>
      <c r="E40" s="57">
        <v>8000</v>
      </c>
      <c r="F40" s="57">
        <f t="shared" si="1"/>
        <v>224000</v>
      </c>
    </row>
    <row r="41" spans="1:6">
      <c r="A41" s="55"/>
      <c r="B41" s="56"/>
      <c r="C41" s="55" t="s">
        <v>49</v>
      </c>
      <c r="D41" s="55">
        <v>6</v>
      </c>
      <c r="E41" s="57">
        <v>10000</v>
      </c>
      <c r="F41" s="57">
        <f t="shared" si="1"/>
        <v>60000</v>
      </c>
    </row>
    <row r="42" spans="1:6">
      <c r="A42" s="58">
        <v>9</v>
      </c>
      <c r="B42" s="59" t="s">
        <v>56</v>
      </c>
      <c r="C42" s="47" t="s">
        <v>48</v>
      </c>
      <c r="D42" s="47">
        <v>13</v>
      </c>
      <c r="E42" s="49">
        <v>8000</v>
      </c>
      <c r="F42" s="49">
        <f t="shared" si="1"/>
        <v>104000</v>
      </c>
    </row>
    <row r="43" spans="1:6">
      <c r="A43" s="58"/>
      <c r="B43" s="59"/>
      <c r="C43" s="50" t="s">
        <v>49</v>
      </c>
      <c r="D43" s="47">
        <v>4</v>
      </c>
      <c r="E43" s="49">
        <v>10000</v>
      </c>
      <c r="F43" s="49">
        <f t="shared" si="1"/>
        <v>40000</v>
      </c>
    </row>
    <row r="44" spans="1:6">
      <c r="A44" s="58">
        <v>10</v>
      </c>
      <c r="B44" s="59" t="s">
        <v>57</v>
      </c>
      <c r="C44" s="47" t="s">
        <v>48</v>
      </c>
      <c r="D44" s="47">
        <v>40</v>
      </c>
      <c r="E44" s="49">
        <v>8000</v>
      </c>
      <c r="F44" s="49">
        <f t="shared" si="1"/>
        <v>320000</v>
      </c>
    </row>
    <row r="45" spans="1:6">
      <c r="A45" s="58"/>
      <c r="B45" s="59"/>
      <c r="C45" s="50" t="s">
        <v>49</v>
      </c>
      <c r="D45" s="47">
        <v>10</v>
      </c>
      <c r="E45" s="49">
        <v>10000</v>
      </c>
      <c r="F45" s="49">
        <f t="shared" si="1"/>
        <v>100000</v>
      </c>
    </row>
    <row r="46" spans="1:6">
      <c r="A46" s="58">
        <v>11</v>
      </c>
      <c r="B46" s="59" t="s">
        <v>58</v>
      </c>
      <c r="C46" s="47" t="s">
        <v>48</v>
      </c>
      <c r="D46" s="47">
        <v>79</v>
      </c>
      <c r="E46" s="49">
        <v>8000</v>
      </c>
      <c r="F46" s="49">
        <f t="shared" si="1"/>
        <v>632000</v>
      </c>
    </row>
    <row r="47" spans="1:6">
      <c r="A47" s="58"/>
      <c r="B47" s="59"/>
      <c r="C47" s="50" t="s">
        <v>49</v>
      </c>
      <c r="D47" s="47">
        <v>14</v>
      </c>
      <c r="E47" s="49">
        <v>10000</v>
      </c>
      <c r="F47" s="49">
        <f t="shared" si="1"/>
        <v>140000</v>
      </c>
    </row>
    <row r="48" spans="1:6">
      <c r="A48" s="58">
        <v>12</v>
      </c>
      <c r="B48" s="59" t="s">
        <v>59</v>
      </c>
      <c r="C48" s="47" t="s">
        <v>48</v>
      </c>
      <c r="D48" s="47">
        <v>42</v>
      </c>
      <c r="E48" s="49">
        <v>8000</v>
      </c>
      <c r="F48" s="49">
        <f t="shared" si="1"/>
        <v>336000</v>
      </c>
    </row>
    <row r="49" spans="1:6">
      <c r="A49" s="58"/>
      <c r="B49" s="59"/>
      <c r="C49" s="50" t="s">
        <v>49</v>
      </c>
      <c r="D49" s="47">
        <v>7</v>
      </c>
      <c r="E49" s="49">
        <v>10000</v>
      </c>
      <c r="F49" s="49">
        <f t="shared" si="1"/>
        <v>70000</v>
      </c>
    </row>
    <row r="50" spans="1:6">
      <c r="A50" s="60">
        <v>13</v>
      </c>
      <c r="B50" s="61" t="s">
        <v>60</v>
      </c>
      <c r="C50" s="55" t="s">
        <v>48</v>
      </c>
      <c r="D50" s="55">
        <v>23</v>
      </c>
      <c r="E50" s="57">
        <v>8000</v>
      </c>
      <c r="F50" s="57">
        <f t="shared" si="1"/>
        <v>184000</v>
      </c>
    </row>
    <row r="51" spans="1:6">
      <c r="A51" s="60"/>
      <c r="B51" s="61"/>
      <c r="C51" s="55" t="s">
        <v>49</v>
      </c>
      <c r="D51" s="55">
        <v>3</v>
      </c>
      <c r="E51" s="57">
        <v>10000</v>
      </c>
      <c r="F51" s="57">
        <f t="shared" si="1"/>
        <v>30000</v>
      </c>
    </row>
    <row r="52" spans="1:6">
      <c r="A52" s="58">
        <v>14</v>
      </c>
      <c r="B52" s="59" t="s">
        <v>61</v>
      </c>
      <c r="C52" s="47" t="s">
        <v>48</v>
      </c>
      <c r="D52" s="47">
        <v>16</v>
      </c>
      <c r="E52" s="49">
        <v>8000</v>
      </c>
      <c r="F52" s="49">
        <f t="shared" si="1"/>
        <v>128000</v>
      </c>
    </row>
    <row r="53" spans="1:6">
      <c r="A53" s="58"/>
      <c r="B53" s="59"/>
      <c r="C53" s="50" t="s">
        <v>49</v>
      </c>
      <c r="D53" s="47">
        <v>4</v>
      </c>
      <c r="E53" s="49">
        <v>10000</v>
      </c>
      <c r="F53" s="49">
        <f t="shared" si="1"/>
        <v>40000</v>
      </c>
    </row>
    <row r="54" spans="1:6">
      <c r="A54" s="58">
        <v>15</v>
      </c>
      <c r="B54" s="59" t="s">
        <v>62</v>
      </c>
      <c r="C54" s="47" t="s">
        <v>48</v>
      </c>
      <c r="D54" s="58"/>
      <c r="E54" s="49">
        <v>8000</v>
      </c>
      <c r="F54" s="49">
        <f t="shared" si="1"/>
        <v>0</v>
      </c>
    </row>
    <row r="55" spans="1:6">
      <c r="A55" s="58"/>
      <c r="B55" s="59"/>
      <c r="C55" s="50" t="s">
        <v>49</v>
      </c>
      <c r="D55" s="58">
        <v>55</v>
      </c>
      <c r="E55" s="49">
        <v>10000</v>
      </c>
      <c r="F55" s="49">
        <f t="shared" si="1"/>
        <v>550000</v>
      </c>
    </row>
    <row r="56" spans="1:6">
      <c r="A56" s="58">
        <v>16</v>
      </c>
      <c r="B56" s="58" t="s">
        <v>63</v>
      </c>
      <c r="C56" s="47" t="s">
        <v>48</v>
      </c>
      <c r="D56" s="58">
        <v>327</v>
      </c>
      <c r="E56" s="49">
        <v>8000</v>
      </c>
      <c r="F56" s="49">
        <f t="shared" si="1"/>
        <v>2616000</v>
      </c>
    </row>
    <row r="57" spans="1:6">
      <c r="A57" s="58"/>
      <c r="B57" s="58"/>
      <c r="C57" s="50" t="s">
        <v>49</v>
      </c>
      <c r="D57" s="58">
        <v>402</v>
      </c>
      <c r="E57" s="49">
        <v>10000</v>
      </c>
      <c r="F57" s="49">
        <f t="shared" si="1"/>
        <v>4020000</v>
      </c>
    </row>
    <row r="58" spans="1:6">
      <c r="A58" s="58">
        <v>17</v>
      </c>
      <c r="B58" s="58" t="s">
        <v>64</v>
      </c>
      <c r="C58" s="47" t="s">
        <v>48</v>
      </c>
      <c r="D58" s="58">
        <v>109</v>
      </c>
      <c r="E58" s="49">
        <v>8000</v>
      </c>
      <c r="F58" s="49">
        <f t="shared" si="1"/>
        <v>872000</v>
      </c>
    </row>
    <row r="59" spans="1:6">
      <c r="A59" s="58"/>
      <c r="B59" s="58"/>
      <c r="C59" s="50" t="s">
        <v>49</v>
      </c>
      <c r="D59" s="58">
        <v>126</v>
      </c>
      <c r="E59" s="49">
        <v>10000</v>
      </c>
      <c r="F59" s="49">
        <f t="shared" si="1"/>
        <v>1260000</v>
      </c>
    </row>
    <row r="60" spans="1:6">
      <c r="A60" s="58">
        <v>18</v>
      </c>
      <c r="B60" s="58" t="s">
        <v>65</v>
      </c>
      <c r="C60" s="47" t="s">
        <v>48</v>
      </c>
      <c r="D60" s="58">
        <v>42</v>
      </c>
      <c r="E60" s="49">
        <v>8000</v>
      </c>
      <c r="F60" s="49">
        <f t="shared" si="1"/>
        <v>336000</v>
      </c>
    </row>
    <row r="61" spans="1:6">
      <c r="A61" s="58"/>
      <c r="B61" s="58"/>
      <c r="C61" s="50" t="s">
        <v>49</v>
      </c>
      <c r="D61" s="58">
        <v>9</v>
      </c>
      <c r="E61" s="49">
        <v>10000</v>
      </c>
      <c r="F61" s="49">
        <f t="shared" si="1"/>
        <v>90000</v>
      </c>
    </row>
    <row r="62" spans="1:6">
      <c r="A62" s="58">
        <v>19</v>
      </c>
      <c r="B62" s="58" t="s">
        <v>66</v>
      </c>
      <c r="C62" s="47" t="s">
        <v>48</v>
      </c>
      <c r="D62" s="58">
        <v>22</v>
      </c>
      <c r="E62" s="49">
        <v>8000</v>
      </c>
      <c r="F62" s="49">
        <f t="shared" si="1"/>
        <v>176000</v>
      </c>
    </row>
    <row r="63" spans="1:6">
      <c r="A63" s="58"/>
      <c r="B63" s="58"/>
      <c r="C63" s="50" t="s">
        <v>49</v>
      </c>
      <c r="D63" s="58">
        <v>7</v>
      </c>
      <c r="E63" s="49">
        <v>10000</v>
      </c>
      <c r="F63" s="49">
        <f t="shared" si="1"/>
        <v>70000</v>
      </c>
    </row>
    <row r="64" spans="1:6">
      <c r="A64" s="58">
        <v>20</v>
      </c>
      <c r="B64" s="58" t="s">
        <v>67</v>
      </c>
      <c r="C64" s="47" t="s">
        <v>48</v>
      </c>
      <c r="D64" s="58">
        <v>52</v>
      </c>
      <c r="E64" s="49">
        <v>8000</v>
      </c>
      <c r="F64" s="49">
        <f t="shared" si="1"/>
        <v>416000</v>
      </c>
    </row>
    <row r="65" spans="1:7">
      <c r="A65" s="58"/>
      <c r="B65" s="58"/>
      <c r="C65" s="50" t="s">
        <v>49</v>
      </c>
      <c r="D65" s="58">
        <v>8</v>
      </c>
      <c r="E65" s="49">
        <v>10000</v>
      </c>
      <c r="F65" s="49">
        <f t="shared" si="1"/>
        <v>80000</v>
      </c>
    </row>
    <row r="66" spans="1:7">
      <c r="A66" s="62">
        <v>20</v>
      </c>
      <c r="B66" s="62" t="s">
        <v>68</v>
      </c>
      <c r="C66" s="47" t="s">
        <v>48</v>
      </c>
      <c r="D66" s="62">
        <v>43</v>
      </c>
      <c r="E66" s="49">
        <v>8000</v>
      </c>
      <c r="F66" s="49">
        <f t="shared" ref="F66:F67" si="2">E66*D66</f>
        <v>344000</v>
      </c>
    </row>
    <row r="67" spans="1:7">
      <c r="A67" s="62"/>
      <c r="B67" s="62"/>
      <c r="C67" s="50" t="s">
        <v>49</v>
      </c>
      <c r="D67" s="62">
        <v>3</v>
      </c>
      <c r="E67" s="49">
        <v>10000</v>
      </c>
      <c r="F67" s="49">
        <f t="shared" si="2"/>
        <v>30000</v>
      </c>
    </row>
    <row r="68" ht="14.5" customHeight="1" spans="1:7">
      <c r="A68" s="5"/>
      <c r="B68" s="5" t="s">
        <v>69</v>
      </c>
      <c r="C68" s="63" t="s">
        <v>70</v>
      </c>
      <c r="D68" s="5">
        <v>70</v>
      </c>
      <c r="E68" s="64">
        <v>8000</v>
      </c>
      <c r="F68" s="64">
        <f>SUM(D68*E68)</f>
        <v>560000</v>
      </c>
      <c r="G68" s="65" t="s">
        <v>71</v>
      </c>
    </row>
    <row r="69" ht="14.5" customHeight="1" spans="1:7">
      <c r="A69" s="5"/>
      <c r="B69" s="5"/>
      <c r="C69" s="63" t="s">
        <v>72</v>
      </c>
      <c r="D69" s="5">
        <v>54</v>
      </c>
      <c r="E69" s="64">
        <v>10000</v>
      </c>
      <c r="F69" s="64">
        <f t="shared" ref="F69:F75" si="3">SUM(D69*E69)</f>
        <v>540000</v>
      </c>
      <c r="G69" s="65"/>
    </row>
    <row r="70" ht="14.5" customHeight="1" spans="1:7">
      <c r="A70" s="5"/>
      <c r="B70" s="5" t="s">
        <v>73</v>
      </c>
      <c r="C70" s="63" t="s">
        <v>74</v>
      </c>
      <c r="D70" s="5">
        <v>32</v>
      </c>
      <c r="E70" s="64">
        <v>8000</v>
      </c>
      <c r="F70" s="64">
        <f t="shared" si="3"/>
        <v>256000</v>
      </c>
      <c r="G70" s="65"/>
    </row>
    <row r="71" ht="14.5" customHeight="1" spans="1:7">
      <c r="A71" s="5"/>
      <c r="B71" s="5"/>
      <c r="C71" s="63" t="s">
        <v>72</v>
      </c>
      <c r="D71" s="5">
        <v>31</v>
      </c>
      <c r="E71" s="64">
        <v>10000</v>
      </c>
      <c r="F71" s="64">
        <f t="shared" si="3"/>
        <v>310000</v>
      </c>
      <c r="G71" s="65"/>
    </row>
    <row r="72" ht="14.5" customHeight="1" spans="1:7">
      <c r="A72" s="5"/>
      <c r="B72" s="5" t="s">
        <v>75</v>
      </c>
      <c r="C72" s="63" t="s">
        <v>74</v>
      </c>
      <c r="D72" s="5">
        <v>59</v>
      </c>
      <c r="E72" s="64">
        <v>8000</v>
      </c>
      <c r="F72" s="64">
        <f t="shared" si="3"/>
        <v>472000</v>
      </c>
      <c r="G72" s="65"/>
    </row>
    <row r="73" ht="14.5" customHeight="1" spans="1:7">
      <c r="A73" s="5"/>
      <c r="B73" s="5"/>
      <c r="C73" s="63" t="s">
        <v>72</v>
      </c>
      <c r="D73" s="5">
        <v>30</v>
      </c>
      <c r="E73" s="64">
        <v>10000</v>
      </c>
      <c r="F73" s="64">
        <f t="shared" si="3"/>
        <v>300000</v>
      </c>
      <c r="G73" s="65"/>
    </row>
    <row r="74" ht="14.5" customHeight="1" spans="1:7">
      <c r="A74" s="5"/>
      <c r="B74" s="5" t="s">
        <v>76</v>
      </c>
      <c r="C74" s="63" t="s">
        <v>74</v>
      </c>
      <c r="D74" s="5">
        <v>48</v>
      </c>
      <c r="E74" s="64">
        <v>8000</v>
      </c>
      <c r="F74" s="64">
        <f t="shared" si="3"/>
        <v>384000</v>
      </c>
      <c r="G74" s="65"/>
    </row>
    <row r="75" ht="14.5" customHeight="1" spans="1:7">
      <c r="A75" s="5"/>
      <c r="B75" s="5"/>
      <c r="C75" s="63" t="s">
        <v>72</v>
      </c>
      <c r="D75" s="5">
        <v>38</v>
      </c>
      <c r="E75" s="64">
        <v>10000</v>
      </c>
      <c r="F75" s="64">
        <f t="shared" si="3"/>
        <v>380000</v>
      </c>
      <c r="G75" s="66"/>
    </row>
    <row r="76" spans="1:7">
      <c r="A76" s="62"/>
      <c r="B76" s="62"/>
      <c r="C76" s="67"/>
      <c r="D76" s="62"/>
      <c r="E76" s="68"/>
      <c r="F76" s="68"/>
    </row>
    <row r="77" spans="1:7">
      <c r="A77" s="62"/>
      <c r="B77" s="62"/>
      <c r="C77" s="67"/>
      <c r="D77" s="62"/>
      <c r="E77" s="68"/>
      <c r="F77" s="68"/>
    </row>
    <row r="78" spans="1:7">
      <c r="A78" s="62"/>
      <c r="B78" s="62"/>
      <c r="C78" s="67"/>
      <c r="D78" s="62">
        <f>SUM(D28:D75)</f>
        <v>2839</v>
      </c>
      <c r="E78" s="68"/>
      <c r="F78" s="69">
        <f>SUM(F28:F75)</f>
        <v>25274000</v>
      </c>
    </row>
  </sheetData>
  <mergeCells count="9">
    <mergeCell ref="A2:G2"/>
    <mergeCell ref="A3:G3"/>
    <mergeCell ref="A4:G4"/>
    <mergeCell ref="A5:G5"/>
    <mergeCell ref="A6:G6"/>
    <mergeCell ref="A22:E22"/>
    <mergeCell ref="A23:E23"/>
    <mergeCell ref="A24:E24"/>
    <mergeCell ref="G68:G74"/>
  </mergeCell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9"/>
  <sheetViews>
    <sheetView tabSelected="1" workbookViewId="0">
      <selection activeCell="B25" sqref="B25"/>
    </sheetView>
  </sheetViews>
  <sheetFormatPr defaultColWidth="8.8359375" defaultRowHeight="16.8" outlineLevelCol="3"/>
  <cols>
    <col min="2" max="3" width="15.8359375" customWidth="1"/>
    <col min="4" max="4" width="16" customWidth="1"/>
  </cols>
  <sheetData>
    <row r="1" spans="1:4">
      <c r="A1" s="1" t="s">
        <v>123</v>
      </c>
      <c r="B1" s="1"/>
      <c r="C1" s="1"/>
      <c r="D1" s="1"/>
    </row>
    <row r="3" spans="1:4">
      <c r="A3" s="2" t="s">
        <v>124</v>
      </c>
      <c r="B3" s="2" t="s">
        <v>125</v>
      </c>
      <c r="C3" s="2" t="s">
        <v>126</v>
      </c>
      <c r="D3" s="2" t="s">
        <v>127</v>
      </c>
    </row>
    <row r="4" spans="1:4">
      <c r="A4" s="3" t="s">
        <v>128</v>
      </c>
      <c r="B4" s="4">
        <f>'20 JULI 2026'!F30</f>
        <v>25274000</v>
      </c>
      <c r="C4" s="4">
        <f>'20 JULI 2026'!F29</f>
        <v>26991000</v>
      </c>
      <c r="D4" s="4">
        <f>SUM(B4-C4)</f>
        <v>-1717000</v>
      </c>
    </row>
    <row r="5" spans="1:4">
      <c r="A5" s="3" t="s">
        <v>129</v>
      </c>
      <c r="B5" s="4">
        <f>'21 JULI 2026'!F29</f>
        <v>25274000</v>
      </c>
      <c r="C5" s="4">
        <f>'21 JULI 2026'!F28</f>
        <v>22771400</v>
      </c>
      <c r="D5" s="4">
        <f t="shared" ref="D5:D8" si="0">SUM(B5-C5)</f>
        <v>2502600</v>
      </c>
    </row>
    <row r="6" spans="1:4">
      <c r="A6" s="3" t="s">
        <v>130</v>
      </c>
      <c r="B6" s="4">
        <f>'22 JULI 2026'!F33</f>
        <v>25274000</v>
      </c>
      <c r="C6" s="4">
        <v>24986800</v>
      </c>
      <c r="D6" s="4">
        <f t="shared" si="0"/>
        <v>287200</v>
      </c>
    </row>
    <row r="7" spans="1:4">
      <c r="A7" s="3" t="s">
        <v>131</v>
      </c>
      <c r="B7" s="4">
        <f>'23 JULI 2026'!F29</f>
        <v>25274000</v>
      </c>
      <c r="C7" s="4">
        <f>'23 JULI 2026'!F28</f>
        <v>26874900</v>
      </c>
      <c r="D7" s="4">
        <f t="shared" si="0"/>
        <v>-1600900</v>
      </c>
    </row>
    <row r="8" spans="1:4">
      <c r="A8" s="3" t="s">
        <v>132</v>
      </c>
      <c r="B8" s="4">
        <f>'24 JULI 2026'!F23</f>
        <v>25274000</v>
      </c>
      <c r="C8" s="4">
        <f>'24 JULI 2026'!F22</f>
        <v>23266100</v>
      </c>
      <c r="D8" s="4">
        <f t="shared" si="0"/>
        <v>2007900</v>
      </c>
    </row>
    <row r="9" spans="1:4">
      <c r="A9" s="5" t="s">
        <v>40</v>
      </c>
      <c r="B9" s="6">
        <f>SUM(B4:B8)</f>
        <v>126370000</v>
      </c>
      <c r="C9" s="6">
        <f>SUM(C4:C8)</f>
        <v>124890200</v>
      </c>
      <c r="D9" s="7">
        <f>SUM(D4:D8)</f>
        <v>1479800</v>
      </c>
    </row>
  </sheetData>
  <mergeCells count="1">
    <mergeCell ref="A1:D1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20 JULI 2026</vt:lpstr>
      <vt:lpstr>21 JULI 2026</vt:lpstr>
      <vt:lpstr>22 JULI 2026</vt:lpstr>
      <vt:lpstr>23 JULI 2026</vt:lpstr>
      <vt:lpstr>24 JULI 2026</vt:lpstr>
      <vt:lpstr>TOTAL RAB 20-24 JULI 2026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WPS_1763528431</cp:lastModifiedBy>
  <dcterms:created xsi:type="dcterms:W3CDTF">2025-07-24T15:34:00Z</dcterms:created>
  <cp:lastPrinted>2026-02-09T02:48:00Z</cp:lastPrinted>
  <dcterms:modified xsi:type="dcterms:W3CDTF">2026-07-21T15:15:44Z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004796770C5AA696B02A5F6A82017502_43</vt:lpwstr>
  </property>
  <property fmtid="{D5CDD505-2E9C-101B-9397-08002B2CF9AE}" pid="3" name="KSOProductBuildVer">
    <vt:lpwstr>1033-12.1.25880.25880</vt:lpwstr>
  </property>
  <property fmtid="{D5CDD505-2E9C-101B-9397-08002B2CF9AE}" pid="4" name="CalculationRule">
    <vt:i4>0</vt:i4>
  </property>
</Properties>
</file>